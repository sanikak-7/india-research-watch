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1a964c7cc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17e1aaff2964949"/>
    <x:sheet xmlns:r="http://schemas.openxmlformats.org/officeDocument/2006/relationships" name="National Trend" sheetId="2" r:id="R7803c5e48267488d"/>
    <x:sheet xmlns:r="http://schemas.openxmlformats.org/officeDocument/2006/relationships" name="Performance Sector" sheetId="3" r:id="Rac71ee90b0b647d5"/>
    <x:sheet xmlns:r="http://schemas.openxmlformats.org/officeDocument/2006/relationships" name="Public-Private Proxy" sheetId="4" r:id="R52160915976e4775"/>
    <x:sheet xmlns:r="http://schemas.openxmlformats.org/officeDocument/2006/relationships" name="Gov Agencies" sheetId="5" r:id="Re523bc5dd0004ddd"/>
    <x:sheet xmlns:r="http://schemas.openxmlformats.org/officeDocument/2006/relationships" name="Industry Public" sheetId="6" r:id="Rf2e58f791dad4e19"/>
    <x:sheet xmlns:r="http://schemas.openxmlformats.org/officeDocument/2006/relationships" name="Industry Private" sheetId="7" r:id="R432e8440024645f9"/>
    <x:sheet xmlns:r="http://schemas.openxmlformats.org/officeDocument/2006/relationships" name="Industry Combined" sheetId="8" r:id="R2eb4b68d5dd9405a"/>
    <x:sheet xmlns:r="http://schemas.openxmlformats.org/officeDocument/2006/relationships" name="Economic Activity" sheetId="9" r:id="R18b731fcafd14192"/>
    <x:sheet xmlns:r="http://schemas.openxmlformats.org/officeDocument/2006/relationships" name="Funding Gap" sheetId="10" r:id="Rccd6e7889b584827"/>
    <x:sheet xmlns:r="http://schemas.openxmlformats.org/officeDocument/2006/relationships" name="Definitions" sheetId="11" r:id="Re513fbd5ccb1443a"/>
    <x:sheet xmlns:r="http://schemas.openxmlformats.org/officeDocument/2006/relationships" name="Sources" sheetId="12" r:id="R01522c442461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₹#,##0.00"/>
    <x:numFmt numFmtId="201" formatCode="0.00%"/>
    <x:numFmt numFmtId="202" formatCode="0.0%"/>
    <x:numFmt numFmtId="203" formatCode="₹#,##0"/>
    <x:numFmt numFmtId="204" formatCode="0.0000%"/>
    <x:numFmt numFmtId="205" formatCode="0.00"/>
    <x:numFmt numFmtId="206" formatCode="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4313D"/>
      <x:name val="Carlito"/>
    </x:font>
    <x:font>
      <x:b/>
      <x:sz val="11"/>
      <x:color rgb="FFFFFFFF"/>
      <x:name val="Carlito"/>
    </x:font>
    <x:font>
      <x:sz val="10"/>
      <x:color rgb="FF24313D"/>
      <x:name val="Carlito"/>
    </x:font>
    <x:font>
      <x:b/>
      <x:sz val="10"/>
      <x:color rgb="FF24313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8324B"/>
      </x:patternFill>
    </x:fill>
    <x:fill>
      <x:patternFill patternType="solid">
        <x:fgColor rgb="FFEAF1F5"/>
      </x:patternFill>
    </x:fill>
    <x:fill>
      <x:patternFill patternType="solid">
        <x:fgColor rgb="FF2F6B8A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  <x:fill>
      <x:patternFill patternType="solid">
        <x:fgColor rgb="FFD9A441"/>
      </x:patternFill>
    </x:fill>
    <x:fill>
      <x:patternFill patternType="solid">
        <x:fgColor rgb="FFFFF4D6"/>
      </x:patternFill>
    </x:fill>
    <x:fill>
      <x:patternFill patternType="solid">
        <x:fgColor rgb="FFFBE9E7"/>
      </x:patternFill>
    </x:fill>
    <x:fill>
      <x:patternFill patternType="solid">
        <x:fgColor rgb="FFE8F4EF"/>
      </x:patternFill>
    </x:fill>
  </x:fills>
  <x:borders count="10">
    <x:border/>
    <x:border>
      <x:left style="thin">
        <x:color rgb="FFD6DEE4"/>
      </x:left>
      <x:right style="thin">
        <x:color rgb="FFD6DEE4"/>
      </x:right>
      <x:top style="thin">
        <x:color rgb="FFD6DEE4"/>
      </x:top>
      <x:bottom style="thin">
        <x:color rgb="FFD6DEE4"/>
      </x:bottom>
    </x:border>
    <x:border>
      <x:left style="thin">
        <x:color rgb="FFD6DEE4"/>
      </x:left>
      <x:top style="thin">
        <x:color rgb="FFD6DEE4"/>
      </x:top>
    </x:border>
    <x:border>
      <x:top style="thin">
        <x:color rgb="FFD6DEE4"/>
      </x:top>
    </x:border>
    <x:border>
      <x:right style="thin">
        <x:color rgb="FFD6DEE4"/>
      </x:right>
      <x:top style="thin">
        <x:color rgb="FFD6DEE4"/>
      </x:top>
    </x:border>
    <x:border>
      <x:left style="thin">
        <x:color rgb="FFD6DEE4"/>
      </x:left>
    </x:border>
    <x:border>
      <x:right style="thin">
        <x:color rgb="FFD6DEE4"/>
      </x:right>
    </x:border>
    <x:border>
      <x:left style="thin">
        <x:color rgb="FFD6DEE4"/>
      </x:left>
      <x:bottom style="thin">
        <x:color rgb="FFD6DEE4"/>
      </x:bottom>
    </x:border>
    <x:border>
      <x:bottom style="thin">
        <x:color rgb="FFD6DEE4"/>
      </x:bottom>
    </x:border>
    <x:border>
      <x:right style="thin">
        <x:color rgb="FFD6DEE4"/>
      </x:right>
      <x:bottom style="thin">
        <x:color rgb="FFD6DEE4"/>
      </x:bottom>
    </x:border>
  </x:borders>
  <x:cellStyleXfs count="1">
    <x:xf numFmtId="0" fontId="0" fillId="0" borderId="0"/>
  </x:cellStyleXfs>
  <x:cellXfs count="2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3" xfId="0" applyNumberFormat="1" applyFont="1" applyFill="1" applyBorder="1"/>
    <x:xf numFmtId="0" fontId="4" fillId="8" borderId="4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7" xfId="0" applyNumberFormat="1" applyFont="1" applyFill="1" applyBorder="1"/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2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8" borderId="7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top"/>
    </x:xf>
    <x:xf numFmtId="203" fontId="4" fillId="0" borderId="1" xfId="0" applyNumberFormat="1" applyFont="1" applyFill="1" applyBorder="1" applyAlignment="1">
      <x:alignment vertical="top"/>
    </x:xf>
    <x:xf numFmtId="204" fontId="4" fillId="0" borderId="1" xfId="0" applyNumberFormat="1" applyFont="1" applyFill="1" applyBorder="1" applyAlignment="1">
      <x:alignment vertical="top"/>
    </x:xf>
    <x:xf numFmtId="205" fontId="4" fillId="0" borderId="1" xfId="0" applyNumberFormat="1" applyFont="1" applyFill="1" applyBorder="1" applyAlignment="1">
      <x:alignment vertical="top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top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0" fontId="4" fillId="9" borderId="4" xfId="0" applyNumberFormat="1" applyFont="1" applyFill="1" applyBorder="1"/>
    <x:xf numFmtId="0" fontId="4" fillId="9" borderId="5" xfId="0" applyNumberFormat="1" applyFont="1" applyFill="1" applyBorder="1"/>
    <x:xf numFmtId="0" fontId="4" fillId="9" borderId="6" xfId="0" applyNumberFormat="1" applyFont="1" applyFill="1" applyBorder="1"/>
    <x:xf numFmtId="0" fontId="4" fillId="9" borderId="7" xfId="0" applyNumberFormat="1" applyFont="1" applyFill="1" applyBorder="1"/>
    <x:xf numFmtId="0" fontId="4" fillId="9" borderId="8" xfId="0" applyNumberFormat="1" applyFont="1" applyFill="1" applyBorder="1"/>
    <x:xf numFmtId="0" fontId="4" fillId="9" borderId="9" xfId="0" applyNumberFormat="1" applyFont="1" applyFill="1" applyBorder="1"/>
    <x:xf numFmtId="0" fontId="4" fillId="9" borderId="2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wrapText="1"/>
    </x:xf>
    <x:xf numFmtId="0" fontId="4" fillId="9" borderId="5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4" fillId="9" borderId="6" xfId="0" applyNumberFormat="1" applyFont="1" applyFill="1" applyBorder="1" applyAlignment="1">
      <x:alignment wrapText="1"/>
    </x:xf>
    <x:xf numFmtId="0" fontId="4" fillId="9" borderId="7" xfId="0" applyNumberFormat="1" applyFont="1" applyFill="1" applyBorder="1" applyAlignment="1">
      <x:alignment wrapText="1"/>
    </x:xf>
    <x:xf numFmtId="0" fontId="4" fillId="9" borderId="8" xfId="0" applyNumberFormat="1" applyFont="1" applyFill="1" applyBorder="1" applyAlignment="1">
      <x:alignment wrapText="1"/>
    </x:xf>
    <x:xf numFmtId="0" fontId="4" fillId="9" borderId="9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9" borderId="3" xfId="0" applyNumberFormat="1" applyFont="1" applyFill="1" applyBorder="1" applyAlignment="1">
      <x:alignment vertical="center" wrapText="1"/>
    </x:xf>
    <x:xf numFmtId="0" fontId="4" fillId="9" borderId="4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center" wrapText="1"/>
    </x:xf>
    <x:xf numFmtId="0" fontId="4" fillId="9" borderId="7" xfId="0" applyNumberFormat="1" applyFont="1" applyFill="1" applyBorder="1" applyAlignment="1">
      <x:alignment vertical="center" wrapText="1"/>
    </x:xf>
    <x:xf numFmtId="0" fontId="4" fillId="9" borderId="8" xfId="0" applyNumberFormat="1" applyFont="1" applyFill="1" applyBorder="1" applyAlignment="1">
      <x:alignment vertical="center" wrapText="1"/>
    </x:xf>
    <x:xf numFmtId="0" fontId="4" fillId="9" borderId="9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" xfId="0" applyNumberFormat="1" applyFont="1" applyFill="1" applyBorder="1"/>
    <x:xf numFmtId="0" fontId="4" fillId="10" borderId="3" xfId="0" applyNumberFormat="1" applyFont="1" applyFill="1" applyBorder="1"/>
    <x:xf numFmtId="0" fontId="4" fillId="10" borderId="4" xfId="0" applyNumberFormat="1" applyFont="1" applyFill="1" applyBorder="1"/>
    <x:xf numFmtId="0" fontId="4" fillId="10" borderId="5" xfId="0" applyNumberFormat="1" applyFont="1" applyFill="1" applyBorder="1"/>
    <x:xf numFmtId="0" fontId="4" fillId="10" borderId="6" xfId="0" applyNumberFormat="1" applyFont="1" applyFill="1" applyBorder="1"/>
    <x:xf numFmtId="0" fontId="4" fillId="10" borderId="7" xfId="0" applyNumberFormat="1" applyFont="1" applyFill="1" applyBorder="1"/>
    <x:xf numFmtId="0" fontId="4" fillId="10" borderId="8" xfId="0" applyNumberFormat="1" applyFont="1" applyFill="1" applyBorder="1"/>
    <x:xf numFmtId="0" fontId="4" fillId="10" borderId="9" xfId="0" applyNumberFormat="1" applyFont="1" applyFill="1" applyBorder="1"/>
    <x:xf numFmtId="0" fontId="4" fillId="10" borderId="2" xfId="0" applyNumberFormat="1" applyFont="1" applyFill="1" applyBorder="1" applyAlignment="1">
      <x:alignment wrapText="1"/>
    </x:xf>
    <x:xf numFmtId="0" fontId="4" fillId="10" borderId="3" xfId="0" applyNumberFormat="1" applyFont="1" applyFill="1" applyBorder="1" applyAlignment="1">
      <x:alignment wrapText="1"/>
    </x:xf>
    <x:xf numFmtId="0" fontId="4" fillId="10" borderId="4" xfId="0" applyNumberFormat="1" applyFont="1" applyFill="1" applyBorder="1" applyAlignment="1">
      <x:alignment wrapText="1"/>
    </x:xf>
    <x:xf numFmtId="0" fontId="4" fillId="10" borderId="5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4" fillId="10" borderId="6" xfId="0" applyNumberFormat="1" applyFont="1" applyFill="1" applyBorder="1" applyAlignment="1">
      <x:alignment wrapText="1"/>
    </x:xf>
    <x:xf numFmtId="0" fontId="4" fillId="10" borderId="7" xfId="0" applyNumberFormat="1" applyFont="1" applyFill="1" applyBorder="1" applyAlignment="1">
      <x:alignment wrapText="1"/>
    </x:xf>
    <x:xf numFmtId="0" fontId="4" fillId="10" borderId="8" xfId="0" applyNumberFormat="1" applyFont="1" applyFill="1" applyBorder="1" applyAlignment="1">
      <x:alignment wrapText="1"/>
    </x:xf>
    <x:xf numFmtId="0" fontId="4" fillId="10" borderId="9" xfId="0" applyNumberFormat="1" applyFont="1" applyFill="1" applyBorder="1" applyAlignment="1">
      <x:alignment wrapText="1"/>
    </x:xf>
    <x:xf numFmtId="0" fontId="4" fillId="10" borderId="2" xfId="0" applyNumberFormat="1" applyFont="1" applyFill="1" applyBorder="1" applyAlignment="1">
      <x:alignment vertical="center" wrapText="1"/>
    </x:xf>
    <x:xf numFmtId="0" fontId="4" fillId="10" borderId="3" xfId="0" applyNumberFormat="1" applyFont="1" applyFill="1" applyBorder="1" applyAlignment="1">
      <x:alignment vertical="center" wrapText="1"/>
    </x:xf>
    <x:xf numFmtId="0" fontId="4" fillId="10" borderId="4" xfId="0" applyNumberFormat="1" applyFont="1" applyFill="1" applyBorder="1" applyAlignment="1">
      <x:alignment vertical="center" wrapText="1"/>
    </x:xf>
    <x:xf numFmtId="0" fontId="4" fillId="10" borderId="5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6" xfId="0" applyNumberFormat="1" applyFont="1" applyFill="1" applyBorder="1" applyAlignment="1">
      <x:alignment vertical="center" wrapText="1"/>
    </x:xf>
    <x:xf numFmtId="0" fontId="4" fillId="10" borderId="7" xfId="0" applyNumberFormat="1" applyFont="1" applyFill="1" applyBorder="1" applyAlignment="1">
      <x:alignment vertical="center" wrapText="1"/>
    </x:xf>
    <x:xf numFmtId="0" fontId="4" fillId="10" borderId="8" xfId="0" applyNumberFormat="1" applyFont="1" applyFill="1" applyBorder="1" applyAlignment="1">
      <x:alignment vertical="center" wrapText="1"/>
    </x:xf>
    <x:xf numFmtId="0" fontId="4" fillId="10" borderId="9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/>
    </x:xf>
    <x:xf numFmtId="0" fontId="4" fillId="8" borderId="2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8" xfId="0" applyNumberFormat="1" applyFont="1" applyFill="1" applyBorder="1" applyAlignment="1">
      <x:alignment vertical="top" wrapText="1"/>
    </x:xf>
    <x:xf numFmtId="0" fontId="4" fillId="8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206" fontId="4" fillId="0" borderId="1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0" fontId="4" fillId="9" borderId="5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6" xfId="0" applyNumberFormat="1" applyFont="1" applyFill="1" applyBorder="1" applyAlignment="1">
      <x:alignment vertical="top" wrapText="1"/>
    </x:xf>
    <x:xf numFmtId="0" fontId="4" fillId="9" borderId="7" xfId="0" applyNumberFormat="1" applyFont="1" applyFill="1" applyBorder="1" applyAlignment="1">
      <x:alignment vertical="top" wrapText="1"/>
    </x:xf>
    <x:xf numFmtId="0" fontId="4" fillId="9" borderId="8" xfId="0" applyNumberFormat="1" applyFont="1" applyFill="1" applyBorder="1" applyAlignment="1">
      <x:alignment vertical="top" wrapText="1"/>
    </x:xf>
    <x:xf numFmtId="0" fontId="4" fillId="9" borderId="9" xfId="0" applyNumberFormat="1" applyFont="1" applyFill="1" applyBorder="1" applyAlignment="1">
      <x:alignment vertical="top" wrapText="1"/>
    </x:xf>
    <x:xf numFmtId="0" fontId="4" fillId="10" borderId="2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4" fillId="10" borderId="4" xfId="0" applyNumberFormat="1" applyFont="1" applyFill="1" applyBorder="1" applyAlignment="1">
      <x:alignment vertical="top" wrapText="1"/>
    </x:xf>
    <x:xf numFmtId="0" fontId="4" fillId="10" borderId="5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6" xfId="0" applyNumberFormat="1" applyFont="1" applyFill="1" applyBorder="1" applyAlignment="1">
      <x:alignment vertical="top" wrapText="1"/>
    </x:xf>
    <x:xf numFmtId="0" fontId="4" fillId="10" borderId="7" xfId="0" applyNumberFormat="1" applyFont="1" applyFill="1" applyBorder="1" applyAlignment="1">
      <x:alignment vertical="top" wrapText="1"/>
    </x:xf>
    <x:xf numFmtId="0" fontId="4" fillId="10" borderId="8" xfId="0" applyNumberFormat="1" applyFont="1" applyFill="1" applyBorder="1" applyAlignment="1">
      <x:alignment vertical="top" wrapText="1"/>
    </x:xf>
    <x:xf numFmtId="0" fontId="4" fillId="1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2115995aa4d80" /><Relationship Type="http://schemas.openxmlformats.org/officeDocument/2006/relationships/theme" Target="/xl/theme/theme1.xml" Id="Re48efffaa7de4eb1" /><Relationship Type="http://schemas.openxmlformats.org/officeDocument/2006/relationships/sharedStrings" Target="/xl/sharedStrings.xml" Id="R02b787bba0694cc7" /><Relationship Type="http://schemas.openxmlformats.org/officeDocument/2006/relationships/worksheet" Target="/xl/worksheets/sheet1.xml" Id="R017e1aaff2964949" /><Relationship Type="http://schemas.openxmlformats.org/officeDocument/2006/relationships/worksheet" Target="/xl/worksheets/sheet2.xml" Id="R7803c5e48267488d" /><Relationship Type="http://schemas.openxmlformats.org/officeDocument/2006/relationships/worksheet" Target="/xl/worksheets/sheet3.xml" Id="Rac71ee90b0b647d5" /><Relationship Type="http://schemas.openxmlformats.org/officeDocument/2006/relationships/worksheet" Target="/xl/worksheets/sheet4.xml" Id="R52160915976e4775" /><Relationship Type="http://schemas.openxmlformats.org/officeDocument/2006/relationships/worksheet" Target="/xl/worksheets/sheet5.xml" Id="Re523bc5dd0004ddd" /><Relationship Type="http://schemas.openxmlformats.org/officeDocument/2006/relationships/worksheet" Target="/xl/worksheets/sheet6.xml" Id="Rf2e58f791dad4e19" /><Relationship Type="http://schemas.openxmlformats.org/officeDocument/2006/relationships/worksheet" Target="/xl/worksheets/sheet7.xml" Id="R432e8440024645f9" /><Relationship Type="http://schemas.openxmlformats.org/officeDocument/2006/relationships/worksheet" Target="/xl/worksheets/sheet8.xml" Id="R2eb4b68d5dd9405a" /><Relationship Type="http://schemas.openxmlformats.org/officeDocument/2006/relationships/worksheet" Target="/xl/worksheets/sheet9.xml" Id="R18b731fcafd14192" /><Relationship Type="http://schemas.openxmlformats.org/officeDocument/2006/relationships/worksheet" Target="/xl/worksheets/sheet10.xml" Id="Rccd6e7889b584827" /><Relationship Type="http://schemas.openxmlformats.org/officeDocument/2006/relationships/worksheet" Target="/xl/worksheets/sheet11.xml" Id="Re513fbd5ccb1443a" /><Relationship Type="http://schemas.openxmlformats.org/officeDocument/2006/relationships/worksheet" Target="/xl/worksheets/sheet12.xml" Id="R01522c4424614a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dfa0a0f60b4638" /><Relationship Type="http://schemas.openxmlformats.org/officeDocument/2006/relationships/chart" Target="/xl/drawings/charts/chart2.xml" Id="R9991fa81e5b24da8" /><Relationship Type="http://schemas.openxmlformats.org/officeDocument/2006/relationships/chart" Target="/xl/drawings/charts/chart3.xml" Id="Rdcbec017636a44b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9ce5dfe31db49a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a01e58d9847440f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cef5ba30cdcf49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GERD at current prices (₹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GERD</c:v>
          </c:tx>
          <c:spPr>
            <a:solidFill xmlns:a="http://schemas.openxmlformats.org/drawingml/2006/main">
              <a:srgbClr val="2F6B8A"/>
            </a:solidFill>
          </c:spPr>
          <c:marker>
            <c:symbol val="none"/>
          </c:marker>
          <c:cat>
            <c:strRef>
              <c:f>'National Trend'!$A$6:$A$10</c:f>
              <c:strCache>
                <c:ptCount val="0"/>
              </c:strCache>
            </c:strRef>
          </c:cat>
          <c:val>
            <c:numRef>
              <c:f>'National Trend'!$B$6:$B$10</c:f>
              <c:numCache>
                <c:formatCode>₹#,##0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Ownership/performance proxy (% of GERD)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Public proxy</c:v>
          </c:tx>
          <c:spPr>
            <a:solidFill xmlns:a="http://schemas.openxmlformats.org/drawingml/2006/main">
              <a:srgbClr val="2F6B8A"/>
            </a:solidFill>
          </c:spPr>
          <c:marker>
            <c:symbol val="none"/>
          </c:marker>
          <c:cat>
            <c:strRef>
              <c:f>'Public-Private Proxy'!$A$6:$A$10</c:f>
              <c:strCache>
                <c:ptCount val="0"/>
              </c:strCache>
            </c:strRef>
          </c:cat>
          <c:val>
            <c:numRef>
              <c:f>'Public-Private Proxy'!$E$6:$E$10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Private proxy</c:v>
          </c:tx>
          <c:spPr>
            <a:solidFill xmlns:a="http://schemas.openxmlformats.org/drawingml/2006/main">
              <a:srgbClr val="D9A441"/>
            </a:solidFill>
          </c:spPr>
          <c:marker>
            <c:symbol val="none"/>
          </c:marker>
          <c:cat>
            <c:strRef>
              <c:f>'Public-Private Proxy'!$A$6:$A$10</c:f>
              <c:strCache>
                <c:ptCount val="0"/>
              </c:strCache>
            </c:strRef>
          </c:cat>
          <c:val>
            <c:numRef>
              <c:f>'Public-Private Proxy'!$F$6:$F$10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FY2023-24 performing-sector shares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Share of GERD</c:v>
          </c:tx>
          <c:spPr>
            <a:solidFill xmlns:a="http://schemas.openxmlformats.org/drawingml/2006/main">
              <a:srgbClr val="2D8C7F"/>
            </a:solidFill>
          </c:spPr>
          <c:cat>
            <c:strRef>
              <c:f>'Performance Sector'!$A$15:$A$20</c:f>
              <c:strCache>
                <c:ptCount val="0"/>
              </c:strCache>
            </c:strRef>
          </c:cat>
          <c:val>
            <c:numRef>
              <c:f>'Performance Sector'!$C$15:$C$20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FY2023-24 expenditure (₹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FY2023-24</c:v>
          </c:tx>
          <c:spPr>
            <a:solidFill xmlns:a="http://schemas.openxmlformats.org/drawingml/2006/main">
              <a:srgbClr val="2F6B8A"/>
            </a:solidFill>
          </c:spPr>
          <c:cat>
            <c:strRef>
              <c:f>'Gov Agencies'!$B$6:$B$14</c:f>
              <c:strCache>
                <c:ptCount val="0"/>
              </c:strCache>
            </c:strRef>
          </c:cat>
          <c:val>
            <c:numRef>
              <c:f>'Gov Agencies'!$G$6:$G$14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non-strategic industry groups (₹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FY2023-24</c:v>
          </c:tx>
          <c:spPr>
            <a:solidFill xmlns:a="http://schemas.openxmlformats.org/drawingml/2006/main">
              <a:srgbClr val="2D8C7F"/>
            </a:solidFill>
          </c:spPr>
          <c:cat>
            <c:strRef>
              <c:f>'Industry Combined'!$O$6:$O$15</c:f>
              <c:strCache>
                <c:ptCount val="0"/>
              </c:strCache>
            </c:strRef>
          </c:cat>
          <c:val>
            <c:numRef>
              <c:f>'Industry Combined'!$P$6:$P$15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non-strategic economic activities (₹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FY2023-24</c:v>
          </c:tx>
          <c:spPr>
            <a:solidFill xmlns:a="http://schemas.openxmlformats.org/drawingml/2006/main">
              <a:srgbClr val="2F6B8A"/>
            </a:solidFill>
          </c:spPr>
          <c:cat>
            <c:strRef>
              <c:f>'Economic Activity'!$I$6:$I$15</c:f>
              <c:strCache>
                <c:ptCount val="0"/>
              </c:strCache>
            </c:strRef>
          </c:cat>
          <c:val>
            <c:numRef>
              <c:f>'Economic Activity'!$J$6:$J$15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dfa0a0f60b4638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91fa81e5b24da8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bec017636a44b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ce5dfe31db49a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17</xdr:col>
      <xdr:colOff>0</xdr:colOff>
      <xdr:row>4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1e58d9847440f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f5ba30cdcf497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ationalTrendTable" displayName="NationalTrendTable" ref="A5:I10" headerRowCount="1" totalsRowCount="0" totalsRowShown="0">
  <x:tableColumns count="9">
    <x:tableColumn id="1" name="Financial year"/>
    <x:tableColumn id="2" name="GERD current (₹ cr)"/>
    <x:tableColumn id="3" name="YoY nominal"/>
    <x:tableColumn id="4" name="GDP current (₹ cr)"/>
    <x:tableColumn id="5" name="GERD/GDP reported"/>
    <x:tableColumn id="6" name="GERD/GDP calculated"/>
    <x:tableColumn id="7" name="GERD constant (₹ cr)"/>
    <x:tableColumn id="8" name="Constant-price base"/>
    <x:tableColumn id="9" name="Intensity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formanceWideTable" displayName="PerformanceWideTable" ref="A5:N10" headerRowCount="1" totalsRowCount="0" totalsRowShown="0">
  <x:tableColumns count="14">
    <x:tableColumn id="1" name="FY"/>
    <x:tableColumn id="2" name="Central govt"/>
    <x:tableColumn id="3" name="State govt"/>
    <x:tableColumn id="4" name="Higher education total"/>
    <x:tableColumn id="5" name="HE public"/>
    <x:tableColumn id="6" name="HE private"/>
    <x:tableColumn id="7" name="Public industry"/>
    <x:tableColumn id="8" name="Private industry"/>
    <x:tableColumn id="9" name="SIRO"/>
    <x:tableColumn id="10" name="Component sum"/>
    <x:tableColumn id="11" name="Reported GERD"/>
    <x:tableColumn id="12" name="Reconciliation"/>
    <x:tableColumn id="13" name="Business enterprise*"/>
    <x:tableColumn id="14" name="Source vint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wnershipProxyTable" displayName="OwnershipProxyTable" ref="A5:G10" headerRowCount="1" totalsRowCount="0" totalsRowShown="0">
  <x:tableColumns count="7">
    <x:tableColumn id="1" name="FY"/>
    <x:tableColumn id="2" name="Public-owned performers"/>
    <x:tableColumn id="3" name="Private-owned performers"/>
    <x:tableColumn id="4" name="GERD"/>
    <x:tableColumn id="5" name="Public share"/>
    <x:tableColumn id="6" name="Private share"/>
    <x:tableColumn id="7" name="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ovAgencyTable" displayName="GovAgencyTable" ref="A5:J14" headerRowCount="1" totalsRowCount="0" totalsRowShown="0">
  <x:tableColumns count="10">
    <x:tableColumn id="1" name="Agency"/>
    <x:tableColumn id="2" name="Abbr."/>
    <x:tableColumn id="3" name="FY2019-20"/>
    <x:tableColumn id="4" name="FY2020-21"/>
    <x:tableColumn id="5" name="FY2021-22"/>
    <x:tableColumn id="6" name="FY2022-23"/>
    <x:tableColumn id="7" name="FY2023-24"/>
    <x:tableColumn id="8" name="4-year change"/>
    <x:tableColumn id="9" name="CAGR"/>
    <x:tableColumn id="10" name="2023-24 ran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ublicIndustryRawTable" displayName="PublicIndustryRawTable" ref="A5:F27" headerRowCount="1" totalsRowCount="0" totalsRowShown="0">
  <x:tableColumns count="6">
    <x:tableColumn id="1" name="Industry group"/>
    <x:tableColumn id="2" name="Strategic flag"/>
    <x:tableColumn id="3" name="FY2021-22"/>
    <x:tableColumn id="4" name="FY2022-23"/>
    <x:tableColumn id="5" name="FY2023-24"/>
    <x:tableColumn id="6" name="Transcription / scope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ivateIndustryRawTable" displayName="PrivateIndustryRawTable" ref="A5:F45" headerRowCount="1" totalsRowCount="0" totalsRowShown="0">
  <x:tableColumns count="6">
    <x:tableColumn id="1" name="Industry group"/>
    <x:tableColumn id="2" name="Strategic flag"/>
    <x:tableColumn id="3" name="FY2021-22"/>
    <x:tableColumn id="4" name="FY2022-23"/>
    <x:tableColumn id="5" name="FY2023-24"/>
    <x:tableColumn id="6" name="Transcription / scope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dustryCombinedTable" displayName="IndustryCombinedTable" ref="A5:M45" headerRowCount="1" totalsRowCount="0" totalsRowShown="0">
  <x:tableColumns count="13">
    <x:tableColumn id="1" name="Industry group"/>
    <x:tableColumn id="2" name="Strategic flag"/>
    <x:tableColumn id="3" name="Public 2021-22"/>
    <x:tableColumn id="4" name="Private 2021-22"/>
    <x:tableColumn id="5" name="Combined 2021-22"/>
    <x:tableColumn id="6" name="Public 2022-23"/>
    <x:tableColumn id="7" name="Private 2022-23"/>
    <x:tableColumn id="8" name="Combined 2022-23"/>
    <x:tableColumn id="9" name="Public 2023-24"/>
    <x:tableColumn id="10" name="Private 2023-24"/>
    <x:tableColumn id="11" name="Combined 2023-24"/>
    <x:tableColumn id="12" name="Share of industry total"/>
    <x:tableColumn id="13" name="2-year CAG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conomicActivityTable" displayName="EconomicActivityTable" ref="A5:G39" headerRowCount="1" totalsRowCount="0" totalsRowShown="0">
  <x:tableColumns count="7">
    <x:tableColumn id="1" name="Economic activity"/>
    <x:tableColumn id="2" name="Strategic flag"/>
    <x:tableColumn id="3" name="FY2021-22"/>
    <x:tableColumn id="4" name="FY2022-23"/>
    <x:tableColumn id="5" name="FY2023-24"/>
    <x:tableColumn id="6" name="Share of covered total"/>
    <x:tableColumn id="7" name="2-year CAG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finitionsTable" displayName="DefinitionsTable" ref="A5:F14" headerRowCount="1" totalsRowCount="0" totalsRowShown="0">
  <x:tableColumns count="6">
    <x:tableColumn id="1" name="Term"/>
    <x:tableColumn id="2" name="Working definition"/>
    <x:tableColumn id="3" name="Included here"/>
    <x:tableColumn id="4" name="Common confusion"/>
    <x:tableColumn id="5" name="Primary reference"/>
    <x:tableColumn id="6" name="Use in workbook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RegisterTable" displayName="SourceRegisterTable" ref="A5:F15" headerRowCount="1" totalsRowCount="0" totalsRowShown="0">
  <x:tableColumns count="6">
    <x:tableColumn id="1" name="ID"/>
    <x:tableColumn id="2" name="Title"/>
    <x:tableColumn id="3" name="Publisher"/>
    <x:tableColumn id="4" name="URL"/>
    <x:tableColumn id="5" name="Used for"/>
    <x:tableColumn id="6" name="Access / qualit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0422eb32a749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eb60a577f141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d8d857caf149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264033a3864c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1dc78d7031774722" /><Relationship Type="http://schemas.openxmlformats.org/officeDocument/2006/relationships/table" Target="/xl/tables/table4.xml" Id="R75738d0e5d5042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7c5e36744345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71a2219ead4b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377945a9b5bf461b" /><Relationship Type="http://schemas.openxmlformats.org/officeDocument/2006/relationships/table" Target="/xl/tables/table7.xml" Id="Ra9ff62bd3d4d43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4f193036d626421a" /><Relationship Type="http://schemas.openxmlformats.org/officeDocument/2006/relationships/table" Target="/xl/tables/table8.xml" Id="R10cfca3cbfa449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94999d2f5145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3757280f4c84f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35" hidden="0" customWidth="1"/>
  </x:cols>
  <x:sheetData>
    <x:row r="1" ht="26" customHeight="1">
      <x:c r="A1" s="150" t="str">
        <x:v>India R&amp;D expenditure: an audited sectoral view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</x:row>
    <x:row r="2" ht="26" customHeight="1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</x:row>
    <x:row r="3" ht="34" customHeight="1">
      <x:c r="A3" s="151" t="str">
        <x:v>Observed data only, FY2019-20 to FY2023-24 · INR crore at current prices unless stated · Later-year estimates excluded</x:v>
      </x:c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  <x:c r="N3" s="151"/>
    </x:row>
    <x:row r="4">
      <x:c r="A4" s="167"/>
      <x:c r="B4" s="167"/>
      <x:c r="C4" s="167"/>
      <x:c r="D4" s="167"/>
      <x:c r="E4" s="167"/>
      <x:c r="F4" s="167"/>
      <x:c r="G4" s="167"/>
      <x:c r="H4" s="167"/>
      <x:c r="I4" s="167"/>
      <x:c r="J4" s="167"/>
      <x:c r="K4" s="167"/>
      <x:c r="L4" s="167"/>
      <x:c r="M4" s="167"/>
      <x:c r="N4" s="167"/>
    </x:row>
    <x:row r="5">
      <x:c r="A5" s="168" t="str">
        <x:v>Executive metrics</x:v>
      </x:c>
      <x:c r="B5" s="168"/>
      <x:c r="C5" s="168"/>
      <x:c r="D5" s="168"/>
      <x:c r="E5" s="167"/>
      <x:c r="F5" s="167"/>
      <x:c r="G5" s="167"/>
      <x:c r="H5" s="167"/>
      <x:c r="I5" s="167"/>
      <x:c r="J5" s="167"/>
      <x:c r="K5" s="167"/>
      <x:c r="L5" s="167"/>
      <x:c r="M5" s="167"/>
      <x:c r="N5" s="167"/>
    </x:row>
    <x:row r="6">
      <x:c r="A6" s="154" t="str">
        <x:v>Metric</x:v>
      </x:c>
      <x:c r="B6" s="154" t="str">
        <x:v>Latest observed</x:v>
      </x:c>
      <x:c r="C6" s="154" t="str">
        <x:v>Interpretation</x:v>
      </x:c>
      <x:c r="D6" s="167"/>
      <x:c r="E6" s="167"/>
      <x:c r="F6" s="167"/>
      <x:c r="G6" s="167"/>
      <x:c r="H6" s="167"/>
      <x:c r="I6" s="167"/>
      <x:c r="J6" s="167"/>
      <x:c r="K6" s="167"/>
      <x:c r="L6" s="167"/>
      <x:c r="M6" s="167"/>
      <x:c r="N6" s="167"/>
    </x:row>
    <x:row r="7">
      <x:c r="A7" s="169" t="str">
        <x:v>GERD, FY2023-24</x:v>
      </x:c>
      <x:c r="B7" s="170" t="n">
        <x:v>244767.81</x:v>
      </x:c>
      <x:c r="C7" s="22" t="str">
        <x:v>National intramural R&amp;D expenditure</x:v>
      </x:c>
      <x:c r="D7" s="167"/>
      <x:c r="E7" s="167"/>
      <x:c r="F7" s="167"/>
      <x:c r="G7" s="167"/>
      <x:c r="H7" s="167"/>
      <x:c r="I7" s="167"/>
      <x:c r="J7" s="167"/>
      <x:c r="K7" s="167"/>
      <x:c r="L7" s="167"/>
      <x:c r="M7" s="167"/>
      <x:c r="N7" s="167"/>
    </x:row>
    <x:row r="8">
      <x:c r="A8" s="169" t="str">
        <x:v>GERD / GDP</x:v>
      </x:c>
      <x:c r="B8" s="171" t="n">
        <x:v>0.0084</x:v>
      </x:c>
      <x:c r="C8" s="22" t="str">
        <x:v>Up from 0.66% in FY2019-20</x:v>
      </x:c>
      <x:c r="D8" s="167"/>
      <x:c r="E8" s="167"/>
      <x:c r="F8" s="167"/>
      <x:c r="G8" s="167"/>
      <x:c r="H8" s="167"/>
      <x:c r="I8" s="167"/>
      <x:c r="J8" s="167"/>
      <x:c r="K8" s="167"/>
      <x:c r="L8" s="167"/>
      <x:c r="M8" s="167"/>
      <x:c r="N8" s="167"/>
    </x:row>
    <x:row r="9">
      <x:c r="A9" s="169" t="str">
        <x:v>Private ownership proxy</x:v>
      </x:c>
      <x:c r="B9" s="171" t="n">
        <x:v>0.5185</x:v>
      </x:c>
      <x:c r="C9" s="22" t="str">
        <x:v>Share performed by private-owned sectors; not ultimate funding</x:v>
      </x:c>
      <x:c r="D9" s="167"/>
      <x:c r="E9" s="167"/>
      <x:c r="F9" s="167"/>
      <x:c r="G9" s="167"/>
      <x:c r="H9" s="167"/>
      <x:c r="I9" s="167"/>
      <x:c r="J9" s="167"/>
      <x:c r="K9" s="167"/>
      <x:c r="L9" s="167"/>
      <x:c r="M9" s="167"/>
      <x:c r="N9" s="167"/>
    </x:row>
    <x:row r="10">
      <x:c r="A10" s="169" t="str">
        <x:v>Private-industry performer</x:v>
      </x:c>
      <x:c r="B10" s="171" t="n">
        <x:v>0.4517</x:v>
      </x:c>
      <x:c r="C10" s="22" t="str">
        <x:v>Largest single performing sector</x:v>
      </x:c>
      <x:c r="D10" s="167"/>
      <x:c r="E10" s="167"/>
      <x:c r="F10" s="167"/>
      <x:c r="G10" s="167"/>
      <x:c r="H10" s="167"/>
      <x:c r="I10" s="167"/>
      <x:c r="J10" s="167"/>
      <x:c r="K10" s="167"/>
      <x:c r="L10" s="167"/>
      <x:c r="M10" s="167"/>
      <x:c r="N10" s="167"/>
    </x:row>
    <x:row r="11">
      <x:c r="A11" s="169" t="str">
        <x:v>Business-enterprise performers</x:v>
      </x:c>
      <x:c r="B11" s="171" t="n">
        <x:v>0.4927</x:v>
      </x:c>
      <x:c r="C11" s="22" t="str">
        <x:v>Public + private industry, using component-consistent series</x:v>
      </x:c>
      <x:c r="D11" s="167"/>
      <x:c r="E11" s="167"/>
      <x:c r="F11" s="167"/>
      <x:c r="G11" s="167"/>
      <x:c r="H11" s="167"/>
      <x:c r="I11" s="167"/>
      <x:c r="J11" s="167"/>
      <x:c r="K11" s="167"/>
      <x:c r="L11" s="167"/>
      <x:c r="M11" s="167"/>
      <x:c r="N11" s="167"/>
    </x:row>
    <x:row r="12">
      <x:c r="A12" s="167"/>
      <x:c r="B12" s="167"/>
      <x:c r="C12" s="167"/>
      <x:c r="D12" s="167"/>
      <x:c r="E12" s="167"/>
      <x:c r="F12" s="167"/>
      <x:c r="G12" s="167"/>
      <x:c r="H12" s="167"/>
      <x:c r="I12" s="167"/>
      <x:c r="J12" s="167"/>
      <x:c r="K12" s="167"/>
      <x:c r="L12" s="167"/>
      <x:c r="M12" s="167"/>
      <x:c r="N12" s="167"/>
    </x:row>
    <x:row r="13">
      <x:c r="A13" s="168" t="str">
        <x:v>What the data support</x:v>
      </x:c>
      <x:c r="B13" s="168"/>
      <x:c r="C13" s="168"/>
      <x:c r="D13" s="168"/>
      <x:c r="E13" s="167"/>
      <x:c r="F13" s="167"/>
      <x:c r="G13" s="167"/>
      <x:c r="H13" s="167"/>
      <x:c r="I13" s="167"/>
      <x:c r="J13" s="167"/>
      <x:c r="K13" s="167"/>
      <x:c r="L13" s="167"/>
      <x:c r="M13" s="167"/>
      <x:c r="N13" s="167"/>
    </x:row>
    <x:row r="14">
      <x:c r="A14" s="155" t="str">
        <x:v>• Nominal GERD rose 84.6% over four years, from ₹132,567 crore to ₹244,768 crore (16.6% nominal CAGR).</x:v>
      </x:c>
      <x:c r="B14" s="155"/>
      <x:c r="C14" s="155"/>
      <x:c r="D14" s="155"/>
      <x:c r="E14" s="167"/>
      <x:c r="F14" s="167"/>
      <x:c r="G14" s="167"/>
      <x:c r="H14" s="167"/>
      <x:c r="I14" s="167"/>
      <x:c r="J14" s="167"/>
      <x:c r="K14" s="167"/>
      <x:c r="L14" s="167"/>
      <x:c r="M14" s="167"/>
      <x:c r="N14" s="167"/>
    </x:row>
    <x:row r="15">
      <x:c r="A15" s="155"/>
      <x:c r="B15" s="155"/>
      <x:c r="C15" s="155"/>
      <x:c r="D15" s="155"/>
      <x:c r="E15" s="167"/>
      <x:c r="F15" s="167"/>
      <x:c r="G15" s="167"/>
      <x:c r="H15" s="167"/>
      <x:c r="I15" s="167"/>
      <x:c r="J15" s="167"/>
      <x:c r="K15" s="167"/>
      <x:c r="L15" s="167"/>
      <x:c r="M15" s="167"/>
      <x:c r="N15" s="167"/>
    </x:row>
    <x:row r="16">
      <x:c r="A16" s="156" t="str">
        <x:v>• The FY2021-22 step-up is not safely interpretable as pure organic growth: the survey vintage, coverage and higher-education estimation approach changed.</x:v>
      </x:c>
      <x:c r="B16" s="156"/>
      <x:c r="C16" s="156"/>
      <x:c r="D16" s="156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</x:row>
    <x:row r="17">
      <x:c r="A17" s="156"/>
      <x:c r="B17" s="156"/>
      <x:c r="C17" s="156"/>
      <x:c r="D17" s="156"/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</x:row>
    <x:row r="18">
      <x:c r="A18" s="155" t="str">
        <x:v>• GERD intensity moved from 0.66% to 0.84% of GDP, but was broadly flat at 0.82–0.84% in the latest three observations.</x:v>
      </x:c>
      <x:c r="B18" s="155"/>
      <x:c r="C18" s="155"/>
      <x:c r="D18" s="155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</x:row>
    <x:row r="19">
      <x:c r="A19" s="155"/>
      <x:c r="B19" s="155"/>
      <x:c r="C19" s="155"/>
      <x:c r="D19" s="155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</x:row>
    <x:row r="20">
      <x:c r="A20" s="156" t="str">
        <x:v>• Private industry performed 45.2% of FY2023-24 GERD; central-government institutions performed 30.9%; higher education performed 12.6%.</x:v>
      </x:c>
      <x:c r="B20" s="156"/>
      <x:c r="C20" s="156"/>
      <x:c r="D20" s="156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</x:row>
    <x:row r="21">
      <x:c r="A21" s="156"/>
      <x:c r="B21" s="156"/>
      <x:c r="C21" s="156"/>
      <x:c r="D21" s="156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</x:row>
    <x:row r="22">
      <x:c r="A22" s="155" t="str">
        <x:v>• The published public/private series is an ownership/performance proxy. A comprehensive ultimate source-of-funds series is not published for this period.</x:v>
      </x:c>
      <x:c r="B22" s="155"/>
      <x:c r="C22" s="155"/>
      <x:c r="D22" s="155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</x:row>
    <x:row r="23">
      <x:c r="A23" s="155"/>
      <x:c r="B23" s="155"/>
      <x:c r="C23" s="155"/>
      <x:c r="D23" s="155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</x:row>
    <x:row r="24">
      <x:c r="A24" s="156" t="str">
        <x:v>• Strategic R&amp;D is retained in national and reconciliation totals but is not profiled separately, as requested.</x:v>
      </x:c>
      <x:c r="B24" s="156"/>
      <x:c r="C24" s="156"/>
      <x:c r="D24" s="156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</x:row>
    <x:row r="25">
      <x:c r="A25" s="156"/>
      <x:c r="B25" s="156"/>
      <x:c r="C25" s="156"/>
      <x:c r="D25" s="156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</x:row>
    <x:row r="27">
      <x:c r="A27" s="172" t="str">
        <x:v>Read before using the series</x:v>
      </x:c>
      <x:c r="B27" s="172"/>
      <x:c r="C27" s="172"/>
      <x:c r="D27" s="172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</x:row>
    <x:row r="28">
      <x:c r="A28" s="158" t="str">
        <x:v>Breaks and bounds: FY2019-20/FY2020-21 sector data come from the 2022-23 publication; later observations come from the 2025-26 survey. Constant-price bases change after FY2021-22, so the workbook does not calculate one continuous real-growth rate. Detailed industry tables differ from performer totals by small rounding/vintage amounts. Source-of-funds is kept distinct from ownership of performers.</x:v>
      </x:c>
      <x:c r="B28" s="159"/>
      <x:c r="C28" s="159"/>
      <x:c r="D28" s="160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</x:row>
    <x:row r="29">
      <x:c r="A29" s="161"/>
      <x:c r="B29" s="162"/>
      <x:c r="C29" s="162"/>
      <x:c r="D29" s="163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</x:row>
    <x:row r="30">
      <x:c r="A30" s="161"/>
      <x:c r="B30" s="162"/>
      <x:c r="C30" s="162"/>
      <x:c r="D30" s="163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</x:row>
    <x:row r="31">
      <x:c r="A31" s="161"/>
      <x:c r="B31" s="162"/>
      <x:c r="C31" s="162"/>
      <x:c r="D31" s="163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</x:row>
    <x:row r="32">
      <x:c r="A32" s="161"/>
      <x:c r="B32" s="162"/>
      <x:c r="C32" s="162"/>
      <x:c r="D32" s="163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</x:row>
    <x:row r="33">
      <x:c r="A33" s="164"/>
      <x:c r="B33" s="165"/>
      <x:c r="C33" s="165"/>
      <x:c r="D33" s="166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</x:row>
  </x:sheetData>
  <x:mergeCells>
    <x:mergeCell ref="A1:N2"/>
    <x:mergeCell ref="A3:N3"/>
    <x:mergeCell ref="A5:D5"/>
    <x:mergeCell ref="A13:D13"/>
    <x:mergeCell ref="A14:D14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14:D15"/>
    <x:mergeCell ref="A16:D17"/>
    <x:mergeCell ref="A18:D19"/>
    <x:mergeCell ref="A20:D21"/>
    <x:mergeCell ref="A22:D23"/>
    <x:mergeCell ref="A24:D25"/>
    <x:mergeCell ref="A27:D27"/>
    <x:mergeCell ref="A28:D33"/>
  </x:mergeCells>
  <x:pageMargins left="0.7" right="0.7" top="0.75" bottom="0.75" header="0.3" footer="0.3"/>
  <x:drawing xmlns:r="http://schemas.openxmlformats.org/officeDocument/2006/relationships" r:id="R670422eb32a7490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</x:cols>
  <x:sheetData>
    <x:row r="1" ht="26" customHeight="1">
      <x:c r="A1" s="150" t="str">
        <x:v>National R&amp;D expenditure trend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</x:row>
    <x:row r="2" ht="26" customHeight="1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</x:row>
    <x:row r="3" ht="34" customHeight="1">
      <x:c r="A3" s="151" t="str">
        <x:v>GERD is total current + capital intramural R&amp;D performed within India. Current-price growth is nominal; constant-price bases are not continuous.</x:v>
      </x:c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</x:row>
    <x:row r="4">
      <x:c r="A4" s="167"/>
      <x:c r="B4" s="167"/>
      <x:c r="C4" s="167"/>
      <x:c r="D4" s="167"/>
      <x:c r="E4" s="167"/>
      <x:c r="F4" s="167"/>
      <x:c r="G4" s="167"/>
      <x:c r="H4" s="167"/>
      <x:c r="I4" s="167"/>
      <x:c r="J4" s="167"/>
      <x:c r="K4" s="167"/>
      <x:c r="L4" s="167"/>
      <x:c r="M4" s="167"/>
    </x:row>
    <x:row r="5">
      <x:c r="A5" s="154" t="str">
        <x:v>Financial year</x:v>
      </x:c>
      <x:c r="B5" s="154" t="str">
        <x:v>GERD current (₹ cr)</x:v>
      </x:c>
      <x:c r="C5" s="154" t="str">
        <x:v>YoY nominal</x:v>
      </x:c>
      <x:c r="D5" s="154" t="str">
        <x:v>GDP current (₹ cr)</x:v>
      </x:c>
      <x:c r="E5" s="154" t="str">
        <x:v>GERD/GDP reported</x:v>
      </x:c>
      <x:c r="F5" s="154" t="str">
        <x:v>GERD/GDP calculated</x:v>
      </x:c>
      <x:c r="G5" s="154" t="str">
        <x:v>GERD constant (₹ cr)</x:v>
      </x:c>
      <x:c r="H5" s="154" t="str">
        <x:v>Constant-price base</x:v>
      </x:c>
      <x:c r="I5" s="154" t="str">
        <x:v>Intensity check</x:v>
      </x:c>
      <x:c r="J5" s="167"/>
      <x:c r="K5" s="167"/>
      <x:c r="L5" s="167"/>
      <x:c r="M5" s="167"/>
    </x:row>
    <x:row r="6">
      <x:c r="A6" s="22" t="str">
        <x:v>2019-20</x:v>
      </x:c>
      <x:c r="B6" s="170" t="n">
        <x:v>132567.01</x:v>
      </x:c>
      <x:c r="C6" s="182"/>
      <x:c r="D6" s="183" t="n">
        <x:v>20103593</x:v>
      </x:c>
      <x:c r="E6" s="171" t="n">
        <x:v>0.0066</x:v>
      </x:c>
      <x:c r="F6" s="171" t="n">
        <x:f>B6/D6</x:f>
        <x:v>0.00659419487849759</x:v>
      </x:c>
      <x:c r="G6" s="170" t="n">
        <x:v>95844.26</x:v>
      </x:c>
      <x:c r="H6" s="22" t="str">
        <x:v>2011-12</x:v>
      </x:c>
      <x:c r="I6" s="184" t="n">
        <x:f>F6-E6</x:f>
        <x:v>-0.000005805121502409916</x:v>
      </x:c>
      <x:c r="J6" s="167"/>
      <x:c r="K6" s="167"/>
      <x:c r="L6" s="167"/>
      <x:c r="M6" s="167"/>
    </x:row>
    <x:row r="7">
      <x:c r="A7" s="22" t="str">
        <x:v>2020-21</x:v>
      </x:c>
      <x:c r="B7" s="170" t="n">
        <x:v>127380.96</x:v>
      </x:c>
      <x:c r="C7" s="182" t="n">
        <x:f>B7/B6-1</x:f>
        <x:v>-0.039120215504596545</x:v>
      </x:c>
      <x:c r="D7" s="183" t="n">
        <x:v>19854096</x:v>
      </x:c>
      <x:c r="E7" s="171" t="n">
        <x:v>0.0064</x:v>
      </x:c>
      <x:c r="F7" s="171" t="n">
        <x:f>B7/D7</x:f>
        <x:v>0.006415852930297104</x:v>
      </x:c>
      <x:c r="G7" s="170" t="n">
        <x:v>87864.27</x:v>
      </x:c>
      <x:c r="H7" s="22" t="str">
        <x:v>2011-12</x:v>
      </x:c>
      <x:c r="I7" s="184" t="n">
        <x:f>F7-E7</x:f>
        <x:v>0.000015852930297103468</x:v>
      </x:c>
      <x:c r="J7" s="167"/>
      <x:c r="K7" s="167"/>
      <x:c r="L7" s="167"/>
      <x:c r="M7" s="167"/>
    </x:row>
    <x:row r="8">
      <x:c r="A8" s="22" t="str">
        <x:v>2021-22</x:v>
      </x:c>
      <x:c r="B8" s="170" t="n">
        <x:v>194810.83</x:v>
      </x:c>
      <x:c r="C8" s="182" t="n">
        <x:f>B8/B7-1</x:f>
        <x:v>0.5293559571226341</x:v>
      </x:c>
      <x:c r="D8" s="183" t="n">
        <x:v>23597398</x:v>
      </x:c>
      <x:c r="E8" s="171" t="n">
        <x:v>0.0083</x:v>
      </x:c>
      <x:c r="F8" s="171" t="n">
        <x:f>B8/D8</x:f>
        <x:v>0.008255606402027884</x:v>
      </x:c>
      <x:c r="G8" s="170" t="n">
        <x:v>124014.45</x:v>
      </x:c>
      <x:c r="H8" s="22" t="str">
        <x:v>2011-12</x:v>
      </x:c>
      <x:c r="I8" s="184" t="n">
        <x:f>F8-E8</x:f>
        <x:v>-0.00004439359797211648</x:v>
      </x:c>
      <x:c r="J8" s="167"/>
      <x:c r="K8" s="167"/>
      <x:c r="L8" s="167"/>
      <x:c r="M8" s="167"/>
    </x:row>
    <x:row r="9">
      <x:c r="A9" s="22" t="str">
        <x:v>2022-23</x:v>
      </x:c>
      <x:c r="B9" s="170" t="n">
        <x:v>213378.12</x:v>
      </x:c>
      <x:c r="C9" s="182" t="n">
        <x:f>B9/B8-1</x:f>
        <x:v>0.09530933162186117</x:v>
      </x:c>
      <x:c r="D9" s="183" t="n">
        <x:v>26117627</x:v>
      </x:c>
      <x:c r="E9" s="171" t="n">
        <x:v>0.008199999999999999</x:v>
      </x:c>
      <x:c r="F9" s="171" t="n">
        <x:f>B9/D9</x:f>
        <x:v>0.00816988924759512</x:v>
      </x:c>
      <x:c r="G9" s="170" t="n">
        <x:v>213378.12</x:v>
      </x:c>
      <x:c r="H9" s="22" t="str">
        <x:v>2022-23</x:v>
      </x:c>
      <x:c r="I9" s="184" t="n">
        <x:f>F9-E9</x:f>
        <x:v>-0.00003011075240487958</x:v>
      </x:c>
      <x:c r="J9" s="167"/>
      <x:c r="K9" s="167"/>
      <x:c r="L9" s="167"/>
      <x:c r="M9" s="167"/>
    </x:row>
    <x:row r="10">
      <x:c r="A10" s="22" t="str">
        <x:v>2023-24</x:v>
      </x:c>
      <x:c r="B10" s="170" t="n">
        <x:v>244767.81</x:v>
      </x:c>
      <x:c r="C10" s="182" t="n">
        <x:f>B10/B9-1</x:f>
        <x:v>0.14710828832871892</x:v>
      </x:c>
      <x:c r="D10" s="183" t="n">
        <x:v>28983909</x:v>
      </x:c>
      <x:c r="E10" s="171" t="n">
        <x:v>0.0084</x:v>
      </x:c>
      <x:c r="F10" s="171" t="n">
        <x:f>B10/D10</x:f>
        <x:v>0.008444955095601494</x:v>
      </x:c>
      <x:c r="G10" s="170" t="n">
        <x:v>236465.22</x:v>
      </x:c>
      <x:c r="H10" s="22" t="str">
        <x:v>2022-23</x:v>
      </x:c>
      <x:c r="I10" s="184" t="n">
        <x:f>F10-E10</x:f>
        <x:v>0.00004495509560149477</x:v>
      </x:c>
      <x:c r="J10" s="167"/>
      <x:c r="K10" s="167"/>
      <x:c r="L10" s="167"/>
      <x:c r="M10" s="167"/>
    </x:row>
    <x:row r="11">
      <x:c r="A11" s="167"/>
      <x:c r="B11" s="167"/>
      <x:c r="C11" s="167"/>
      <x:c r="D11" s="167"/>
      <x:c r="E11" s="167"/>
      <x:c r="F11" s="167"/>
      <x:c r="G11" s="167"/>
      <x:c r="H11" s="167"/>
      <x:c r="I11" s="167"/>
      <x:c r="J11" s="167"/>
      <x:c r="K11" s="167"/>
      <x:c r="L11" s="167"/>
      <x:c r="M11" s="167"/>
    </x:row>
    <x:row r="12">
      <x:c r="A12" s="168" t="str">
        <x:v>Derived nominal trend</x:v>
      </x:c>
      <x:c r="B12" s="168"/>
      <x:c r="C12" s="168"/>
      <x:c r="D12" s="168"/>
      <x:c r="E12" s="167"/>
      <x:c r="F12" s="167"/>
      <x:c r="G12" s="167"/>
      <x:c r="H12" s="167"/>
      <x:c r="I12" s="167"/>
      <x:c r="J12" s="167"/>
      <x:c r="K12" s="167"/>
      <x:c r="L12" s="167"/>
      <x:c r="M12" s="167"/>
    </x:row>
    <x:row r="13">
      <x:c r="A13" s="154" t="str">
        <x:v>Measure</x:v>
      </x:c>
      <x:c r="B13" s="154" t="str">
        <x:v>Formula result</x:v>
      </x:c>
      <x:c r="C13" s="154" t="str">
        <x:v>Unit</x:v>
      </x:c>
      <x:c r="D13" s="154" t="str">
        <x:v>Interpretation</x:v>
      </x:c>
      <x:c r="E13" s="167"/>
      <x:c r="F13" s="167"/>
      <x:c r="G13" s="167"/>
      <x:c r="H13" s="167"/>
      <x:c r="I13" s="167"/>
      <x:c r="J13" s="167"/>
      <x:c r="K13" s="167"/>
      <x:c r="L13" s="167"/>
      <x:c r="M13" s="167"/>
    </x:row>
    <x:row r="14">
      <x:c r="A14" s="22" t="str">
        <x:v>FY2019-20 to FY2023-24 change</x:v>
      </x:c>
      <x:c r="B14" s="182" t="n">
        <x:f>B10/B6-1</x:f>
        <x:v>0.8463704506875427</x:v>
      </x:c>
      <x:c r="C14" s="22" t="str">
        <x:v>%</x:v>
      </x:c>
      <x:c r="D14" s="22" t="str">
        <x:v>Current-price change</x:v>
      </x:c>
      <x:c r="E14" s="167"/>
      <x:c r="F14" s="167"/>
      <x:c r="G14" s="167"/>
      <x:c r="H14" s="167"/>
      <x:c r="I14" s="167"/>
      <x:c r="J14" s="167"/>
      <x:c r="K14" s="167"/>
      <x:c r="L14" s="167"/>
      <x:c r="M14" s="167"/>
    </x:row>
    <x:row r="15">
      <x:c r="A15" s="22" t="str">
        <x:v>Four-year CAGR</x:v>
      </x:c>
      <x:c r="B15" s="182" t="n">
        <x:f>(B10/B6)^(1/4)-1</x:f>
        <x:v>0.16568097991939146</x:v>
      </x:c>
      <x:c r="C15" s="22" t="str">
        <x:v>% p.a.</x:v>
      </x:c>
      <x:c r="D15" s="22" t="str">
        <x:v>Nominal, not inflation-adjusted</x:v>
      </x:c>
      <x:c r="E15" s="167"/>
      <x:c r="F15" s="167"/>
      <x:c r="G15" s="167"/>
      <x:c r="H15" s="167"/>
      <x:c r="I15" s="167"/>
      <x:c r="J15" s="167"/>
      <x:c r="K15" s="167"/>
      <x:c r="L15" s="167"/>
      <x:c r="M15" s="167"/>
    </x:row>
    <x:row r="16">
      <x:c r="A16" s="22" t="str">
        <x:v>Intensity change</x:v>
      </x:c>
      <x:c r="B16" s="185" t="n">
        <x:f>(E10-E6)*100</x:f>
        <x:v>0.17999999999999994</x:v>
      </x:c>
      <x:c r="C16" s="22" t="str">
        <x:v>percentage points</x:v>
      </x:c>
      <x:c r="D16" s="22" t="str">
        <x:v>Reported GERD/GDP</x:v>
      </x:c>
      <x:c r="E16" s="167"/>
      <x:c r="F16" s="167"/>
      <x:c r="G16" s="167"/>
      <x:c r="H16" s="167"/>
      <x:c r="I16" s="167"/>
      <x:c r="J16" s="167"/>
      <x:c r="K16" s="167"/>
      <x:c r="L16" s="167"/>
      <x:c r="M16" s="167"/>
    </x:row>
    <x:row r="17">
      <x:c r="A17" s="167"/>
      <x:c r="B17" s="167"/>
      <x:c r="C17" s="167"/>
      <x:c r="D17" s="167"/>
      <x:c r="E17" s="167"/>
      <x:c r="F17" s="167"/>
      <x:c r="G17" s="167"/>
      <x:c r="H17" s="167"/>
      <x:c r="I17" s="167"/>
      <x:c r="J17" s="167"/>
      <x:c r="K17" s="167"/>
      <x:c r="L17" s="167"/>
      <x:c r="M17" s="167"/>
    </x:row>
    <x:row r="18">
      <x:c r="A18" s="158" t="str">
        <x:v>Comparability warning: the FY2021-22 increase coincides with a new survey vintage and changed estimation/coverage, including the transition from imputed higher-education totals to separate public/private higher-education estimates. Constant-price data use a 2011-12 base through FY2021-22 and a 2022-23 base thereafter; a single real CAGR would be misleading.</x:v>
      </x:c>
      <x:c r="B18" s="159"/>
      <x:c r="C18" s="159"/>
      <x:c r="D18" s="159"/>
      <x:c r="E18" s="159"/>
      <x:c r="F18" s="159"/>
      <x:c r="G18" s="159"/>
      <x:c r="H18" s="159"/>
      <x:c r="I18" s="160"/>
      <x:c r="J18" s="167"/>
      <x:c r="K18" s="167"/>
      <x:c r="L18" s="167"/>
      <x:c r="M18" s="167"/>
    </x:row>
    <x:row r="19">
      <x:c r="A19" s="161"/>
      <x:c r="B19" s="162"/>
      <x:c r="C19" s="162"/>
      <x:c r="D19" s="162"/>
      <x:c r="E19" s="162"/>
      <x:c r="F19" s="162"/>
      <x:c r="G19" s="162"/>
      <x:c r="H19" s="162"/>
      <x:c r="I19" s="163"/>
      <x:c r="J19" s="167"/>
      <x:c r="K19" s="167"/>
      <x:c r="L19" s="167"/>
      <x:c r="M19" s="167"/>
    </x:row>
    <x:row r="20">
      <x:c r="A20" s="161"/>
      <x:c r="B20" s="162"/>
      <x:c r="C20" s="162"/>
      <x:c r="D20" s="162"/>
      <x:c r="E20" s="162"/>
      <x:c r="F20" s="162"/>
      <x:c r="G20" s="162"/>
      <x:c r="H20" s="162"/>
      <x:c r="I20" s="163"/>
      <x:c r="J20" s="167"/>
      <x:c r="K20" s="167"/>
      <x:c r="L20" s="167"/>
      <x:c r="M20" s="167"/>
    </x:row>
    <x:row r="21">
      <x:c r="A21" s="164"/>
      <x:c r="B21" s="165"/>
      <x:c r="C21" s="165"/>
      <x:c r="D21" s="165"/>
      <x:c r="E21" s="165"/>
      <x:c r="F21" s="165"/>
      <x:c r="G21" s="165"/>
      <x:c r="H21" s="165"/>
      <x:c r="I21" s="166"/>
      <x:c r="J21" s="167"/>
      <x:c r="K21" s="167"/>
      <x:c r="L21" s="167"/>
      <x:c r="M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</x:row>
    <x:row r="23">
      <x:c r="A23" s="173" t="str">
        <x:v>Source: NSTMIS/DST, S&amp;T Indicators Tables: R&amp;D Statistics 2025-26 (Tables 3–4), with FY2019-20/FY2020-21 sector detail cross-checked to the 2022-23 edition. Later-year estimates are excluded.</x:v>
      </x:c>
      <x:c r="B23" s="174"/>
      <x:c r="C23" s="174"/>
      <x:c r="D23" s="174"/>
      <x:c r="E23" s="174"/>
      <x:c r="F23" s="174"/>
      <x:c r="G23" s="174"/>
      <x:c r="H23" s="174"/>
      <x:c r="I23" s="175"/>
      <x:c r="J23" s="167"/>
      <x:c r="K23" s="167"/>
      <x:c r="L23" s="167"/>
      <x:c r="M23" s="167"/>
    </x:row>
    <x:row r="24">
      <x:c r="A24" s="176"/>
      <x:c r="B24" s="177"/>
      <x:c r="C24" s="177"/>
      <x:c r="D24" s="177"/>
      <x:c r="E24" s="177"/>
      <x:c r="F24" s="177"/>
      <x:c r="G24" s="177"/>
      <x:c r="H24" s="177"/>
      <x:c r="I24" s="178"/>
      <x:c r="J24" s="167"/>
      <x:c r="K24" s="167"/>
      <x:c r="L24" s="167"/>
      <x:c r="M24" s="167"/>
    </x:row>
    <x:row r="25">
      <x:c r="A25" s="179"/>
      <x:c r="B25" s="180"/>
      <x:c r="C25" s="180"/>
      <x:c r="D25" s="180"/>
      <x:c r="E25" s="180"/>
      <x:c r="F25" s="180"/>
      <x:c r="G25" s="180"/>
      <x:c r="H25" s="180"/>
      <x:c r="I25" s="181"/>
      <x:c r="J25" s="167"/>
      <x:c r="K25" s="167"/>
      <x:c r="L25" s="167"/>
      <x:c r="M25" s="167"/>
    </x:row>
  </x:sheetData>
  <x:mergeCells>
    <x:mergeCell ref="A1:M2"/>
    <x:mergeCell ref="A3:M3"/>
    <x:mergeCell ref="A12:D12"/>
    <x:mergeCell ref="A18:I21"/>
    <x:mergeCell ref="A23:I25"/>
  </x:mergeCells>
  <x:pageMargins left="0.7" right="0.7" top="0.75" bottom="0.75" header="0.3" footer="0.3"/>
  <x:tableParts count="1">
    <x:tablePart xmlns:r="http://schemas.openxmlformats.org/officeDocument/2006/relationships" r:id="R89eb60a577f141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</x:cols>
  <x:sheetData>
    <x:row r="1" ht="26" customHeight="1">
      <x:c r="A1" s="150" t="str">
        <x:v>R&amp;D expenditure by performing sector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</x:row>
    <x:row r="2" ht="26" customHeight="1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</x:row>
    <x:row r="3" ht="34" customHeight="1">
      <x:c r="A3" s="151" t="str">
        <x:v>This answers who performed the R&amp;D. It is not the same as who ultimately funded it.</x:v>
      </x:c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  <x:c r="N3" s="151"/>
    </x:row>
    <x:row r="4">
      <x:c r="A4" s="167"/>
      <x:c r="B4" s="167"/>
      <x:c r="C4" s="167"/>
      <x:c r="D4" s="167"/>
      <x:c r="E4" s="167"/>
      <x:c r="F4" s="167"/>
      <x:c r="G4" s="167"/>
      <x:c r="H4" s="167"/>
      <x:c r="I4" s="167"/>
      <x:c r="J4" s="167"/>
      <x:c r="K4" s="167"/>
      <x:c r="L4" s="167"/>
      <x:c r="M4" s="167"/>
      <x:c r="N4" s="167"/>
    </x:row>
    <x:row r="5">
      <x:c r="A5" s="154" t="str">
        <x:v>FY</x:v>
      </x:c>
      <x:c r="B5" s="154" t="str">
        <x:v>Central govt</x:v>
      </x:c>
      <x:c r="C5" s="154" t="str">
        <x:v>State govt</x:v>
      </x:c>
      <x:c r="D5" s="154" t="str">
        <x:v>Higher education total</x:v>
      </x:c>
      <x:c r="E5" s="154" t="str">
        <x:v>HE public</x:v>
      </x:c>
      <x:c r="F5" s="154" t="str">
        <x:v>HE private</x:v>
      </x:c>
      <x:c r="G5" s="154" t="str">
        <x:v>Public industry</x:v>
      </x:c>
      <x:c r="H5" s="154" t="str">
        <x:v>Private industry</x:v>
      </x:c>
      <x:c r="I5" s="154" t="str">
        <x:v>SIRO</x:v>
      </x:c>
      <x:c r="J5" s="154" t="str">
        <x:v>Component sum</x:v>
      </x:c>
      <x:c r="K5" s="154" t="str">
        <x:v>Reported GERD</x:v>
      </x:c>
      <x:c r="L5" s="154" t="str">
        <x:v>Reconciliation</x:v>
      </x:c>
      <x:c r="M5" s="154" t="str">
        <x:v>Business enterprise*</x:v>
      </x:c>
      <x:c r="N5" s="154" t="str">
        <x:v>Source vintage</x:v>
      </x:c>
    </x:row>
    <x:row r="6">
      <x:c r="A6" s="22" t="str">
        <x:v>2019-20</x:v>
      </x:c>
      <x:c r="B6" s="170" t="n">
        <x:v>64126.94</x:v>
      </x:c>
      <x:c r="C6" s="170" t="n">
        <x:v>8554.79</x:v>
      </x:c>
      <x:c r="D6" s="170" t="n">
        <x:v>9941.59</x:v>
      </x:c>
      <x:c r="E6" s="170"/>
      <x:c r="F6" s="170"/>
      <x:c r="G6" s="170" t="n">
        <x:v>5190.15</x:v>
      </x:c>
      <x:c r="H6" s="170" t="n">
        <x:v>39415.95</x:v>
      </x:c>
      <x:c r="I6" s="170" t="n">
        <x:v>5337.59</x:v>
      </x:c>
      <x:c r="J6" s="170" t="n">
        <x:f>ROUND(SUM(B6:D6,G6:I6),2)</x:f>
        <x:v>132567.01</x:v>
      </x:c>
      <x:c r="K6" s="170" t="n">
        <x:v>132567.01</x:v>
      </x:c>
      <x:c r="L6" s="170" t="n">
        <x:f>ROUND(J6-K6,2)</x:f>
        <x:v>0</x:v>
      </x:c>
      <x:c r="M6" s="170" t="n">
        <x:f>ROUND(G6+H6,2)</x:f>
        <x:v>44606.1</x:v>
      </x:c>
      <x:c r="N6" s="22" t="str">
        <x:v>R&amp;D Statistics 2022-23</x:v>
      </x:c>
    </x:row>
    <x:row r="7">
      <x:c r="A7" s="22" t="str">
        <x:v>2020-21</x:v>
      </x:c>
      <x:c r="B7" s="170" t="n">
        <x:v>55685.93</x:v>
      </x:c>
      <x:c r="C7" s="170" t="n">
        <x:v>8476.35</x:v>
      </x:c>
      <x:c r="D7" s="170" t="n">
        <x:v>11235</x:v>
      </x:c>
      <x:c r="E7" s="170"/>
      <x:c r="F7" s="170"/>
      <x:c r="G7" s="170" t="n">
        <x:v>5595.55</x:v>
      </x:c>
      <x:c r="H7" s="170" t="n">
        <x:v>41007.36</x:v>
      </x:c>
      <x:c r="I7" s="170" t="n">
        <x:v>5380.77</x:v>
      </x:c>
      <x:c r="J7" s="170" t="n">
        <x:f>ROUND(SUM(B7:D7,G7:I7),2)</x:f>
        <x:v>127380.96</x:v>
      </x:c>
      <x:c r="K7" s="170" t="n">
        <x:v>127380.96</x:v>
      </x:c>
      <x:c r="L7" s="170" t="n">
        <x:f>ROUND(J7-K7,2)</x:f>
        <x:v>0</x:v>
      </x:c>
      <x:c r="M7" s="170" t="n">
        <x:f>ROUND(G7+H7,2)</x:f>
        <x:v>46602.91</x:v>
      </x:c>
      <x:c r="N7" s="22" t="str">
        <x:v>R&amp;D Statistics 2022-23</x:v>
      </x:c>
    </x:row>
    <x:row r="8">
      <x:c r="A8" s="22" t="str">
        <x:v>2021-22</x:v>
      </x:c>
      <x:c r="B8" s="170" t="n">
        <x:v>71022.31</x:v>
      </x:c>
      <x:c r="C8" s="170" t="n">
        <x:v>8394.24</x:v>
      </x:c>
      <x:c r="D8" s="170" t="n">
        <x:v>24085.8</x:v>
      </x:c>
      <x:c r="E8" s="170" t="n">
        <x:v>18383.28</x:v>
      </x:c>
      <x:c r="F8" s="170" t="n">
        <x:v>5702.52</x:v>
      </x:c>
      <x:c r="G8" s="170" t="n">
        <x:v>8333.49</x:v>
      </x:c>
      <x:c r="H8" s="170" t="n">
        <x:v>77265.55</x:v>
      </x:c>
      <x:c r="I8" s="170" t="n">
        <x:v>5709.44</x:v>
      </x:c>
      <x:c r="J8" s="170" t="n">
        <x:f>ROUND(SUM(B8:D8,G8:I8),2)</x:f>
        <x:v>194810.83</x:v>
      </x:c>
      <x:c r="K8" s="170" t="n">
        <x:v>194810.83</x:v>
      </x:c>
      <x:c r="L8" s="170" t="n">
        <x:f>ROUND(J8-K8,2)</x:f>
        <x:v>0</x:v>
      </x:c>
      <x:c r="M8" s="170" t="n">
        <x:f>ROUND(G8+H8,2)</x:f>
        <x:v>85599.04</x:v>
      </x:c>
      <x:c r="N8" s="22" t="str">
        <x:v>R&amp;D Statistics 2025-26</x:v>
      </x:c>
    </x:row>
    <x:row r="9">
      <x:c r="A9" s="22" t="str">
        <x:v>2022-23</x:v>
      </x:c>
      <x:c r="B9" s="170" t="n">
        <x:v>72381.52</x:v>
      </x:c>
      <x:c r="C9" s="170" t="n">
        <x:v>9193.28</x:v>
      </x:c>
      <x:c r="D9" s="170" t="n">
        <x:v>27579.29</x:v>
      </x:c>
      <x:c r="E9" s="170" t="n">
        <x:v>20573.11</x:v>
      </x:c>
      <x:c r="F9" s="170" t="n">
        <x:v>7006.18</x:v>
      </x:c>
      <x:c r="G9" s="170" t="n">
        <x:v>8801.86</x:v>
      </x:c>
      <x:c r="H9" s="170" t="n">
        <x:v>88683.07</x:v>
      </x:c>
      <x:c r="I9" s="170" t="n">
        <x:v>6739.1</x:v>
      </x:c>
      <x:c r="J9" s="170" t="n">
        <x:f>ROUND(SUM(B9:D9,G9:I9),2)</x:f>
        <x:v>213378.12</x:v>
      </x:c>
      <x:c r="K9" s="170" t="n">
        <x:v>213378.12</x:v>
      </x:c>
      <x:c r="L9" s="170" t="n">
        <x:f>ROUND(J9-K9,2)</x:f>
        <x:v>0</x:v>
      </x:c>
      <x:c r="M9" s="170" t="n">
        <x:f>ROUND(G9+H9,2)</x:f>
        <x:v>97484.93</x:v>
      </x:c>
      <x:c r="N9" s="22" t="str">
        <x:v>R&amp;D Statistics 2025-26</x:v>
      </x:c>
    </x:row>
    <x:row r="10">
      <x:c r="A10" s="22" t="str">
        <x:v>2023-24</x:v>
      </x:c>
      <x:c r="B10" s="170" t="n">
        <x:v>75655.72</x:v>
      </x:c>
      <x:c r="C10" s="170" t="n">
        <x:v>9796.1</x:v>
      </x:c>
      <x:c r="D10" s="170" t="n">
        <x:v>30908.53</x:v>
      </x:c>
      <x:c r="E10" s="170" t="n">
        <x:v>22353.61</x:v>
      </x:c>
      <x:c r="F10" s="170" t="n">
        <x:v>8554.92</x:v>
      </x:c>
      <x:c r="G10" s="170" t="n">
        <x:v>10055.78</x:v>
      </x:c>
      <x:c r="H10" s="170" t="n">
        <x:v>110553.4</x:v>
      </x:c>
      <x:c r="I10" s="170" t="n">
        <x:v>7798.28</x:v>
      </x:c>
      <x:c r="J10" s="170" t="n">
        <x:f>ROUND(SUM(B10:D10,G10:I10),2)</x:f>
        <x:v>244767.81</x:v>
      </x:c>
      <x:c r="K10" s="170" t="n">
        <x:v>244767.81</x:v>
      </x:c>
      <x:c r="L10" s="170" t="n">
        <x:f>ROUND(J10-K10,2)</x:f>
        <x:v>0</x:v>
      </x:c>
      <x:c r="M10" s="170" t="n">
        <x:f>ROUND(G10+H10,2)</x:f>
        <x:v>120609.18</x:v>
      </x:c>
      <x:c r="N10" s="22" t="str">
        <x:v>R&amp;D Statistics 2025-26</x:v>
      </x:c>
    </x:row>
    <x:row r="11">
      <x:c r="A11" s="167"/>
      <x:c r="B11" s="167"/>
      <x:c r="C11" s="167"/>
      <x:c r="D11" s="167"/>
      <x:c r="E11" s="167"/>
      <x:c r="F11" s="167"/>
      <x:c r="G11" s="167"/>
      <x:c r="H11" s="167"/>
      <x:c r="I11" s="167"/>
      <x:c r="J11" s="167"/>
      <x:c r="K11" s="167"/>
      <x:c r="L11" s="167"/>
      <x:c r="M11" s="167"/>
      <x:c r="N11" s="167"/>
    </x:row>
    <x:row r="12">
      <x:c r="A12" s="167"/>
      <x:c r="B12" s="167"/>
      <x:c r="C12" s="167"/>
      <x:c r="D12" s="167"/>
      <x:c r="E12" s="167"/>
      <x:c r="F12" s="167"/>
      <x:c r="G12" s="167"/>
      <x:c r="H12" s="167"/>
      <x:c r="I12" s="167"/>
      <x:c r="J12" s="167"/>
      <x:c r="K12" s="167"/>
      <x:c r="L12" s="167"/>
      <x:c r="M12" s="167"/>
      <x:c r="N12" s="167"/>
    </x:row>
    <x:row r="13">
      <x:c r="A13" s="168" t="str">
        <x:v>FY2023-24 ranking</x:v>
      </x:c>
      <x:c r="B13" s="168"/>
      <x:c r="C13" s="168"/>
      <x:c r="D13" s="167"/>
      <x:c r="E13" s="158" t="str">
        <x:v>*Component-consistent business enterprise = public industry + private industry. This avoids a published back-series classification mismatch in which older BERD observations included SIRO. FY2019-20/FY2020-21 higher-education totals were estimated in the older vintage and were not split public/private.</x:v>
      </x:c>
      <x:c r="F13" s="159"/>
      <x:c r="G13" s="159"/>
      <x:c r="H13" s="159"/>
      <x:c r="I13" s="159"/>
      <x:c r="J13" s="159"/>
      <x:c r="K13" s="159"/>
      <x:c r="L13" s="159"/>
      <x:c r="M13" s="159"/>
      <x:c r="N13" s="160"/>
    </x:row>
    <x:row r="14">
      <x:c r="A14" s="154" t="str">
        <x:v>Performer</x:v>
      </x:c>
      <x:c r="B14" s="154" t="str">
        <x:v>₹ crore</x:v>
      </x:c>
      <x:c r="C14" s="154" t="str">
        <x:v>Share of GERD</x:v>
      </x:c>
      <x:c r="D14" s="167"/>
      <x:c r="E14" s="161"/>
      <x:c r="F14" s="162"/>
      <x:c r="G14" s="162"/>
      <x:c r="H14" s="162"/>
      <x:c r="I14" s="162"/>
      <x:c r="J14" s="162"/>
      <x:c r="K14" s="162"/>
      <x:c r="L14" s="162"/>
      <x:c r="M14" s="162"/>
      <x:c r="N14" s="163"/>
    </x:row>
    <x:row r="15">
      <x:c r="A15" s="22" t="str">
        <x:v>Private industry</x:v>
      </x:c>
      <x:c r="B15" s="170" t="n">
        <x:f>H10</x:f>
        <x:v>110553.4</x:v>
      </x:c>
      <x:c r="C15" s="182" t="n">
        <x:f>B15/$K$10</x:f>
        <x:v>0.45166641806371516</x:v>
      </x:c>
      <x:c r="D15" s="167"/>
      <x:c r="E15" s="161"/>
      <x:c r="F15" s="162"/>
      <x:c r="G15" s="162"/>
      <x:c r="H15" s="162"/>
      <x:c r="I15" s="162"/>
      <x:c r="J15" s="162"/>
      <x:c r="K15" s="162"/>
      <x:c r="L15" s="162"/>
      <x:c r="M15" s="162"/>
      <x:c r="N15" s="163"/>
    </x:row>
    <x:row r="16">
      <x:c r="A16" s="22" t="str">
        <x:v>Central-government institutions</x:v>
      </x:c>
      <x:c r="B16" s="170" t="n">
        <x:f>B10</x:f>
        <x:v>75655.72</x:v>
      </x:c>
      <x:c r="C16" s="182" t="n">
        <x:f>B16/$K$10</x:f>
        <x:v>0.3090917878457956</x:v>
      </x:c>
      <x:c r="D16" s="167"/>
      <x:c r="E16" s="161"/>
      <x:c r="F16" s="162"/>
      <x:c r="G16" s="162"/>
      <x:c r="H16" s="162"/>
      <x:c r="I16" s="162"/>
      <x:c r="J16" s="162"/>
      <x:c r="K16" s="162"/>
      <x:c r="L16" s="162"/>
      <x:c r="M16" s="162"/>
      <x:c r="N16" s="163"/>
    </x:row>
    <x:row r="17">
      <x:c r="A17" s="22" t="str">
        <x:v>Higher education</x:v>
      </x:c>
      <x:c r="B17" s="170" t="n">
        <x:f>D10</x:f>
        <x:v>30908.53</x:v>
      </x:c>
      <x:c r="C17" s="182" t="n">
        <x:f>B17/$K$10</x:f>
        <x:v>0.12627693976589488</x:v>
      </x:c>
      <x:c r="D17" s="167"/>
      <x:c r="E17" s="164"/>
      <x:c r="F17" s="165"/>
      <x:c r="G17" s="165"/>
      <x:c r="H17" s="165"/>
      <x:c r="I17" s="165"/>
      <x:c r="J17" s="165"/>
      <x:c r="K17" s="165"/>
      <x:c r="L17" s="165"/>
      <x:c r="M17" s="165"/>
      <x:c r="N17" s="166"/>
    </x:row>
    <x:row r="18">
      <x:c r="A18" s="22" t="str">
        <x:v>Public industry</x:v>
      </x:c>
      <x:c r="B18" s="170" t="n">
        <x:f>G10</x:f>
        <x:v>10055.78</x:v>
      </x:c>
      <x:c r="C18" s="182" t="n">
        <x:f>B18/$K$10</x:f>
        <x:v>0.041082934884288914</x:v>
      </x:c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</x:row>
    <x:row r="19">
      <x:c r="A19" s="22" t="str">
        <x:v>State-government institutions</x:v>
      </x:c>
      <x:c r="B19" s="170" t="n">
        <x:f>C10</x:f>
        <x:v>9796.1</x:v>
      </x:c>
      <x:c r="C19" s="182" t="n">
        <x:f>B19/$K$10</x:f>
        <x:v>0.0400220110642817</x:v>
      </x:c>
      <x:c r="D19" s="167"/>
      <x:c r="E19" s="173" t="str">
        <x:v>Strategic R&amp;D is included within central-government and industry aggregates needed to reconcile GERD, but is not separately profiled. Source: DST Tables 2 and related notes, 2022-23 and 2025-26 editions.</x:v>
      </x:c>
      <x:c r="F19" s="174"/>
      <x:c r="G19" s="174"/>
      <x:c r="H19" s="174"/>
      <x:c r="I19" s="174"/>
      <x:c r="J19" s="174"/>
      <x:c r="K19" s="174"/>
      <x:c r="L19" s="174"/>
      <x:c r="M19" s="174"/>
      <x:c r="N19" s="175"/>
    </x:row>
    <x:row r="20">
      <x:c r="A20" s="22" t="str">
        <x:v>SIRO</x:v>
      </x:c>
      <x:c r="B20" s="170" t="n">
        <x:f>I10</x:f>
        <x:v>7798.28</x:v>
      </x:c>
      <x:c r="C20" s="182" t="n">
        <x:f>B20/$K$10</x:f>
        <x:v>0.03185990837602379</x:v>
      </x:c>
      <x:c r="D20" s="167"/>
      <x:c r="E20" s="176"/>
      <x:c r="F20" s="177"/>
      <x:c r="G20" s="177"/>
      <x:c r="H20" s="177"/>
      <x:c r="I20" s="177"/>
      <x:c r="J20" s="177"/>
      <x:c r="K20" s="177"/>
      <x:c r="L20" s="177"/>
      <x:c r="M20" s="177"/>
      <x:c r="N20" s="178"/>
    </x:row>
    <x:row r="21">
      <x:c r="A21" s="167"/>
      <x:c r="B21" s="167"/>
      <x:c r="C21" s="167"/>
      <x:c r="D21" s="167"/>
      <x:c r="E21" s="176"/>
      <x:c r="F21" s="177"/>
      <x:c r="G21" s="177"/>
      <x:c r="H21" s="177"/>
      <x:c r="I21" s="177"/>
      <x:c r="J21" s="177"/>
      <x:c r="K21" s="177"/>
      <x:c r="L21" s="177"/>
      <x:c r="M21" s="177"/>
      <x:c r="N21" s="178"/>
    </x:row>
    <x:row r="22">
      <x:c r="A22" s="167"/>
      <x:c r="B22" s="167"/>
      <x:c r="C22" s="167"/>
      <x:c r="D22" s="167"/>
      <x:c r="E22" s="179"/>
      <x:c r="F22" s="180"/>
      <x:c r="G22" s="180"/>
      <x:c r="H22" s="180"/>
      <x:c r="I22" s="180"/>
      <x:c r="J22" s="180"/>
      <x:c r="K22" s="180"/>
      <x:c r="L22" s="180"/>
      <x:c r="M22" s="180"/>
      <x:c r="N22" s="181"/>
    </x:row>
  </x:sheetData>
  <x:mergeCells>
    <x:mergeCell ref="A1:N2"/>
    <x:mergeCell ref="A3:N3"/>
    <x:mergeCell ref="A13:C13"/>
    <x:mergeCell ref="E13:N17"/>
    <x:mergeCell ref="E19:N22"/>
  </x:mergeCells>
  <x:pageMargins left="0.7" right="0.7" top="0.75" bottom="0.75" header="0.3" footer="0.3"/>
  <x:tableParts count="1">
    <x:tablePart xmlns:r="http://schemas.openxmlformats.org/officeDocument/2006/relationships" r:id="R92d8d857caf149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26" customHeight="1">
      <x:c r="A1" s="150" t="str">
        <x:v>Public/private ownership proxy</x:v>
      </x:c>
      <x:c r="B1" s="150"/>
      <x:c r="C1" s="150"/>
      <x:c r="D1" s="150"/>
      <x:c r="E1" s="150"/>
      <x:c r="F1" s="150"/>
      <x:c r="G1" s="150"/>
      <x:c r="H1" s="150"/>
    </x:row>
    <x:row r="2" ht="26" customHeight="1">
      <x:c r="A2" s="150"/>
      <x:c r="B2" s="150"/>
      <x:c r="C2" s="150"/>
      <x:c r="D2" s="150"/>
      <x:c r="E2" s="150"/>
      <x:c r="F2" s="150"/>
      <x:c r="G2" s="150"/>
      <x:c r="H2" s="150"/>
    </x:row>
    <x:row r="3" ht="34" customHeight="1">
      <x:c r="A3" s="151" t="str">
        <x:v>Published sector ownership of R&amp;D performers. Do not label this as ultimate source of funds.</x:v>
      </x:c>
      <x:c r="B3" s="151"/>
      <x:c r="C3" s="151"/>
      <x:c r="D3" s="151"/>
      <x:c r="E3" s="151"/>
      <x:c r="F3" s="151"/>
      <x:c r="G3" s="151"/>
      <x:c r="H3" s="151"/>
    </x:row>
    <x:row r="4">
      <x:c r="A4" s="167"/>
      <x:c r="B4" s="167"/>
      <x:c r="C4" s="167"/>
      <x:c r="D4" s="167"/>
      <x:c r="E4" s="167"/>
      <x:c r="F4" s="167"/>
      <x:c r="G4" s="167"/>
      <x:c r="H4" s="167"/>
    </x:row>
    <x:row r="5">
      <x:c r="A5" s="154" t="str">
        <x:v>FY</x:v>
      </x:c>
      <x:c r="B5" s="154" t="str">
        <x:v>Public-owned performers</x:v>
      </x:c>
      <x:c r="C5" s="154" t="str">
        <x:v>Private-owned performers</x:v>
      </x:c>
      <x:c r="D5" s="154" t="str">
        <x:v>GERD</x:v>
      </x:c>
      <x:c r="E5" s="154" t="str">
        <x:v>Public share</x:v>
      </x:c>
      <x:c r="F5" s="154" t="str">
        <x:v>Private share</x:v>
      </x:c>
      <x:c r="G5" s="154" t="str">
        <x:v>Check</x:v>
      </x:c>
      <x:c r="H5" s="167"/>
    </x:row>
    <x:row r="6">
      <x:c r="A6" s="22" t="str">
        <x:v>2019-20</x:v>
      </x:c>
      <x:c r="B6" s="170" t="n">
        <x:v>87813.47</x:v>
      </x:c>
      <x:c r="C6" s="170" t="n">
        <x:v>44753.54</x:v>
      </x:c>
      <x:c r="D6" s="170" t="n">
        <x:v>132567.01</x:v>
      </x:c>
      <x:c r="E6" s="182" t="n">
        <x:f>B6/D6</x:f>
        <x:v>0.6624081662549377</x:v>
      </x:c>
      <x:c r="F6" s="182" t="n">
        <x:f>C6/D6</x:f>
        <x:v>0.3375918337450622</x:v>
      </x:c>
      <x:c r="G6" s="170" t="n">
        <x:f>ROUND(B6+C6-D6,2)</x:f>
        <x:v>0</x:v>
      </x:c>
      <x:c r="H6" s="167"/>
    </x:row>
    <x:row r="7">
      <x:c r="A7" s="22" t="str">
        <x:v>2020-21</x:v>
      </x:c>
      <x:c r="B7" s="170" t="n">
        <x:v>80992.83</x:v>
      </x:c>
      <x:c r="C7" s="170" t="n">
        <x:v>46388.13</x:v>
      </x:c>
      <x:c r="D7" s="170" t="n">
        <x:v>127380.96</x:v>
      </x:c>
      <x:c r="E7" s="182" t="n">
        <x:f>B7/D7</x:f>
        <x:v>0.635831524585778</x:v>
      </x:c>
      <x:c r="F7" s="182" t="n">
        <x:f>C7/D7</x:f>
        <x:v>0.364168475414222</x:v>
      </x:c>
      <x:c r="G7" s="170" t="n">
        <x:f>ROUND(B7+C7-D7,2)</x:f>
        <x:v>0</x:v>
      </x:c>
      <x:c r="H7" s="167"/>
    </x:row>
    <x:row r="8">
      <x:c r="A8" s="22" t="str">
        <x:v>2021-22</x:v>
      </x:c>
      <x:c r="B8" s="170" t="n">
        <x:v>106133.32</x:v>
      </x:c>
      <x:c r="C8" s="170" t="n">
        <x:v>88677.51</x:v>
      </x:c>
      <x:c r="D8" s="170" t="n">
        <x:v>194810.83</x:v>
      </x:c>
      <x:c r="E8" s="182" t="n">
        <x:f>B8/D8</x:f>
        <x:v>0.5448019496657348</x:v>
      </x:c>
      <x:c r="F8" s="182" t="n">
        <x:f>C8/D8</x:f>
        <x:v>0.4551980503342653</x:v>
      </x:c>
      <x:c r="G8" s="170" t="n">
        <x:f>ROUND(B8+C8-D8,2)</x:f>
        <x:v>0</x:v>
      </x:c>
      <x:c r="H8" s="167"/>
    </x:row>
    <x:row r="9">
      <x:c r="A9" s="22" t="str">
        <x:v>2022-23</x:v>
      </x:c>
      <x:c r="B9" s="170" t="n">
        <x:v>110949.77</x:v>
      </x:c>
      <x:c r="C9" s="170" t="n">
        <x:v>102428.35</x:v>
      </x:c>
      <x:c r="D9" s="170" t="n">
        <x:v>213378.12</x:v>
      </x:c>
      <x:c r="E9" s="182" t="n">
        <x:f>B9/D9</x:f>
        <x:v>0.5199678861169084</x:v>
      </x:c>
      <x:c r="F9" s="182" t="n">
        <x:f>C9/D9</x:f>
        <x:v>0.4800321138830917</x:v>
      </x:c>
      <x:c r="G9" s="170" t="n">
        <x:f>ROUND(B9+C9-D9,2)</x:f>
        <x:v>0</x:v>
      </x:c>
      <x:c r="H9" s="167"/>
    </x:row>
    <x:row r="10">
      <x:c r="A10" s="22" t="str">
        <x:v>2023-24</x:v>
      </x:c>
      <x:c r="B10" s="170" t="n">
        <x:v>117861.21</x:v>
      </x:c>
      <x:c r="C10" s="170" t="n">
        <x:v>126906.6</x:v>
      </x:c>
      <x:c r="D10" s="170" t="n">
        <x:v>244767.81</x:v>
      </x:c>
      <x:c r="E10" s="182" t="n">
        <x:f>B10/D10</x:f>
        <x:v>0.4815225090260031</x:v>
      </x:c>
      <x:c r="F10" s="182" t="n">
        <x:f>C10/D10</x:f>
        <x:v>0.518477490973997</x:v>
      </x:c>
      <x:c r="G10" s="170" t="n">
        <x:f>ROUND(B10+C10-D10,2)</x:f>
        <x:v>0</x:v>
      </x:c>
      <x:c r="H10" s="167"/>
    </x:row>
    <x:row r="11">
      <x:c r="A11" s="167"/>
      <x:c r="B11" s="167"/>
      <x:c r="C11" s="167"/>
      <x:c r="D11" s="167"/>
      <x:c r="E11" s="167"/>
      <x:c r="F11" s="167"/>
      <x:c r="G11" s="167"/>
      <x:c r="H11" s="167"/>
    </x:row>
    <x:row r="12">
      <x:c r="A12" s="167"/>
      <x:c r="B12" s="167"/>
      <x:c r="C12" s="167"/>
      <x:c r="D12" s="167"/>
      <x:c r="E12" s="167"/>
      <x:c r="F12" s="167"/>
      <x:c r="G12" s="167"/>
      <x:c r="H12" s="167"/>
    </x:row>
    <x:row r="13">
      <x:c r="A13" s="168" t="str">
        <x:v>What sits inside the proxy</x:v>
      </x:c>
      <x:c r="B13" s="168"/>
      <x:c r="C13" s="168"/>
      <x:c r="D13" s="168"/>
      <x:c r="E13" s="168"/>
      <x:c r="F13" s="168"/>
      <x:c r="G13" s="168"/>
      <x:c r="H13" s="167"/>
    </x:row>
    <x:row r="14">
      <x:c r="A14" s="154" t="str">
        <x:v>Bucket</x:v>
      </x:c>
      <x:c r="B14" s="154" t="str">
        <x:v>Included performer sectors</x:v>
      </x:c>
      <x:c r="C14" s="154" t="str">
        <x:v>What it says</x:v>
      </x:c>
      <x:c r="D14" s="154" t="str">
        <x:v>What it does not say</x:v>
      </x:c>
      <x:c r="E14" s="154"/>
      <x:c r="F14" s="154"/>
      <x:c r="G14" s="154"/>
      <x:c r="H14" s="167"/>
    </x:row>
    <x:row r="15">
      <x:c r="A15" s="22" t="str">
        <x:v>Public</x:v>
      </x:c>
      <x:c r="B15" s="22" t="str">
        <x:v>Central and state government institutions; public/joint industry; public higher education</x:v>
      </x:c>
      <x:c r="C15" s="22" t="str">
        <x:v>Ownership of the performer</x:v>
      </x:c>
      <x:c r="D15" s="22" t="str">
        <x:v>Ultimate payer of the R&amp;D</x:v>
      </x:c>
      <x:c r="E15" s="22"/>
      <x:c r="F15" s="22"/>
      <x:c r="G15" s="22"/>
      <x:c r="H15" s="167"/>
    </x:row>
    <x:row r="16">
      <x:c r="A16" s="22" t="str">
        <x:v>Private</x:v>
      </x:c>
      <x:c r="B16" s="22" t="str">
        <x:v>Private industry; SIRO; private higher education</x:v>
      </x:c>
      <x:c r="C16" s="22" t="str">
        <x:v>Ownership of the performer</x:v>
      </x:c>
      <x:c r="D16" s="22" t="str">
        <x:v>Whether business, government, foreign or other funds financed it</x:v>
      </x:c>
      <x:c r="E16" s="22"/>
      <x:c r="F16" s="22"/>
      <x:c r="G16" s="22"/>
      <x:c r="H16" s="167"/>
    </x:row>
    <x:row r="17">
      <x:c r="A17" s="22" t="str">
        <x:v>Interpretation</x:v>
      </x:c>
      <x:c r="B17" s="22" t="str">
        <x:v>Private share rose from 33.8% to 51.8%</x:v>
      </x:c>
      <x:c r="C17" s="22" t="str">
        <x:v>A structural shift in where R&amp;D is performed</x:v>
      </x:c>
      <x:c r="D17" s="22" t="str">
        <x:v>A measured switch in the source of financing</x:v>
      </x:c>
      <x:c r="E17" s="22"/>
      <x:c r="F17" s="22"/>
      <x:c r="G17" s="22"/>
      <x:c r="H17" s="167"/>
    </x:row>
    <x:row r="18">
      <x:c r="A18" s="167"/>
      <x:c r="B18" s="167"/>
      <x:c r="C18" s="167"/>
      <x:c r="D18" s="167"/>
      <x:c r="E18" s="167"/>
      <x:c r="F18" s="167"/>
      <x:c r="G18" s="167"/>
      <x:c r="H18" s="167"/>
    </x:row>
    <x:row r="19">
      <x:c r="A19" s="167"/>
      <x:c r="B19" s="167"/>
      <x:c r="C19" s="167"/>
      <x:c r="D19" s="167"/>
      <x:c r="E19" s="167"/>
      <x:c r="F19" s="167"/>
      <x:c r="G19" s="167"/>
      <x:c r="H19" s="167"/>
    </x:row>
    <x:row r="20">
      <x:c r="A20" s="158" t="str">
        <x:v>Series construction in DST Table 5 changes in detail with the new separate public/private higher-education observations. The proxy is useful and exact as published, but it is not a source-of-funds matrix.</x:v>
      </x:c>
      <x:c r="B20" s="159"/>
      <x:c r="C20" s="159"/>
      <x:c r="D20" s="159"/>
      <x:c r="E20" s="159"/>
      <x:c r="F20" s="159"/>
      <x:c r="G20" s="160"/>
      <x:c r="H20" s="167"/>
    </x:row>
    <x:row r="21">
      <x:c r="A21" s="161"/>
      <x:c r="B21" s="162"/>
      <x:c r="C21" s="162"/>
      <x:c r="D21" s="162"/>
      <x:c r="E21" s="162"/>
      <x:c r="F21" s="162"/>
      <x:c r="G21" s="163"/>
      <x:c r="H21" s="167"/>
    </x:row>
    <x:row r="22">
      <x:c r="A22" s="161"/>
      <x:c r="B22" s="162"/>
      <x:c r="C22" s="162"/>
      <x:c r="D22" s="162"/>
      <x:c r="E22" s="162"/>
      <x:c r="F22" s="162"/>
      <x:c r="G22" s="163"/>
      <x:c r="H22" s="167"/>
    </x:row>
    <x:row r="23">
      <x:c r="A23" s="164"/>
      <x:c r="B23" s="165"/>
      <x:c r="C23" s="165"/>
      <x:c r="D23" s="165"/>
      <x:c r="E23" s="165"/>
      <x:c r="F23" s="165"/>
      <x:c r="G23" s="166"/>
      <x:c r="H23" s="167"/>
    </x:row>
  </x:sheetData>
  <x:mergeCells>
    <x:mergeCell ref="A1:H2"/>
    <x:mergeCell ref="A3:H3"/>
    <x:mergeCell ref="A13:G13"/>
    <x:mergeCell ref="D14:G14"/>
    <x:mergeCell ref="D15:G15"/>
    <x:mergeCell ref="D16:G16"/>
    <x:mergeCell ref="D17:G17"/>
    <x:mergeCell ref="A20:G23"/>
  </x:mergeCells>
  <x:pageMargins left="0.7" right="0.7" top="0.75" bottom="0.75" header="0.3" footer="0.3"/>
  <x:tableParts count="1">
    <x:tablePart xmlns:r="http://schemas.openxmlformats.org/officeDocument/2006/relationships" r:id="Rfd264033a3864c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6" customHeight="1">
      <x:c r="A1" s="150" t="str">
        <x:v>Major non-strategic government R&amp;D agencies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  <x:c r="Q1" s="150"/>
      <x:c r="R1" s="150"/>
    </x:row>
    <x:row r="2" ht="26" customHeight="1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</x:row>
    <x:row r="3" ht="34" customHeight="1">
      <x:c r="A3" s="151" t="str">
        <x:v>Strategic agencies are retained in national totals but omitted from this detailed profile.</x:v>
      </x:c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  <x:c r="N3" s="151"/>
      <x:c r="O3" s="151"/>
      <x:c r="P3" s="151"/>
      <x:c r="Q3" s="151"/>
      <x:c r="R3" s="151"/>
    </x:row>
    <x:row r="4">
      <x:c r="A4" s="167"/>
      <x:c r="B4" s="167"/>
      <x:c r="C4" s="167"/>
      <x:c r="D4" s="167"/>
      <x:c r="E4" s="167"/>
      <x:c r="F4" s="167"/>
      <x:c r="G4" s="167"/>
      <x:c r="H4" s="167"/>
      <x:c r="I4" s="167"/>
      <x:c r="J4" s="167"/>
      <x:c r="K4" s="167"/>
      <x:c r="L4" s="167"/>
      <x:c r="M4" s="167"/>
      <x:c r="N4" s="167"/>
      <x:c r="O4" s="167"/>
      <x:c r="P4" s="167"/>
      <x:c r="Q4" s="167"/>
      <x:c r="R4" s="167"/>
    </x:row>
    <x:row r="5">
      <x:c r="A5" s="154" t="str">
        <x:v>Agency</x:v>
      </x:c>
      <x:c r="B5" s="154" t="str">
        <x:v>Abbr.</x:v>
      </x:c>
      <x:c r="C5" s="154" t="str">
        <x:v>FY2019-20</x:v>
      </x:c>
      <x:c r="D5" s="154" t="str">
        <x:v>FY2020-21</x:v>
      </x:c>
      <x:c r="E5" s="154" t="str">
        <x:v>FY2021-22</x:v>
      </x:c>
      <x:c r="F5" s="154" t="str">
        <x:v>FY2022-23</x:v>
      </x:c>
      <x:c r="G5" s="154" t="str">
        <x:v>FY2023-24</x:v>
      </x:c>
      <x:c r="H5" s="154" t="str">
        <x:v>4-year change</x:v>
      </x:c>
      <x:c r="I5" s="154" t="str">
        <x:v>CAGR</x:v>
      </x:c>
      <x:c r="J5" s="154" t="str">
        <x:v>2023-24 rank</x:v>
      </x:c>
      <x:c r="K5" s="167"/>
      <x:c r="L5" s="167"/>
      <x:c r="M5" s="167"/>
      <x:c r="N5" s="167"/>
      <x:c r="O5" s="167"/>
      <x:c r="P5" s="167"/>
      <x:c r="Q5" s="167"/>
      <x:c r="R5" s="167"/>
    </x:row>
    <x:row r="6">
      <x:c r="A6" s="22" t="str">
        <x:v>Council of Scientific &amp; Industrial Research (CSIR)</x:v>
      </x:c>
      <x:c r="B6" s="22" t="str">
        <x:v>CSIR</x:v>
      </x:c>
      <x:c r="C6" s="170" t="n">
        <x:v>4871.63</x:v>
      </x:c>
      <x:c r="D6" s="170" t="n">
        <x:v>4198.82</x:v>
      </x:c>
      <x:c r="E6" s="170" t="n">
        <x:v>5110.35</x:v>
      </x:c>
      <x:c r="F6" s="170" t="n">
        <x:v>5831.31</x:v>
      </x:c>
      <x:c r="G6" s="170" t="n">
        <x:v>6128.87</x:v>
      </x:c>
      <x:c r="H6" s="182" t="n">
        <x:f>G6/C6-1</x:f>
        <x:v>0.25807378639182366</x:v>
      </x:c>
      <x:c r="I6" s="182" t="n">
        <x:f>(G6/C6)^(1/4)-1</x:f>
        <x:v>0.059074541347183374</x:v>
      </x:c>
      <x:c r="J6" s="186" t="n">
        <x:f>RANK(G6,$G$6:$G$14,0)</x:f>
        <x:v>2</x:v>
      </x:c>
      <x:c r="K6" s="167"/>
      <x:c r="L6" s="167"/>
      <x:c r="M6" s="167"/>
      <x:c r="N6" s="167"/>
      <x:c r="O6" s="167"/>
      <x:c r="P6" s="167"/>
      <x:c r="Q6" s="167"/>
      <x:c r="R6" s="167"/>
    </x:row>
    <x:row r="7">
      <x:c r="A7" s="22" t="str">
        <x:v>Department of Biotechnology</x:v>
      </x:c>
      <x:c r="B7" s="22" t="str">
        <x:v>DBT</x:v>
      </x:c>
      <x:c r="C7" s="170" t="n">
        <x:v>2358.77</x:v>
      </x:c>
      <x:c r="D7" s="170" t="n">
        <x:v>2259.1</x:v>
      </x:c>
      <x:c r="E7" s="170" t="n">
        <x:v>2819.98</x:v>
      </x:c>
      <x:c r="F7" s="170" t="n">
        <x:v>2088.68</x:v>
      </x:c>
      <x:c r="G7" s="170" t="n">
        <x:v>1499.75</x:v>
      </x:c>
      <x:c r="H7" s="182" t="n">
        <x:f>G7/C7-1</x:f>
        <x:v>-0.3641813317958088</x:v>
      </x:c>
      <x:c r="I7" s="182" t="n">
        <x:f>(G7/C7)^(1/4)-1</x:f>
        <x:v>-0.10703729910732196</x:v>
      </x:c>
      <x:c r="J7" s="186" t="n">
        <x:f>RANK(G7,$G$6:$G$14,0)</x:f>
        <x:v>6</x:v>
      </x:c>
      <x:c r="K7" s="167"/>
      <x:c r="L7" s="167"/>
      <x:c r="M7" s="167"/>
      <x:c r="N7" s="167"/>
      <x:c r="O7" s="167"/>
      <x:c r="P7" s="167"/>
      <x:c r="Q7" s="167"/>
      <x:c r="R7" s="167"/>
    </x:row>
    <x:row r="8">
      <x:c r="A8" s="22" t="str">
        <x:v>Ministry of Electronics &amp; Information Technology</x:v>
      </x:c>
      <x:c r="B8" s="22" t="str">
        <x:v>MeitY</x:v>
      </x:c>
      <x:c r="C8" s="170" t="n">
        <x:v>1157.86</x:v>
      </x:c>
      <x:c r="D8" s="170" t="n">
        <x:v>1155.95</x:v>
      </x:c>
      <x:c r="E8" s="170" t="n">
        <x:v>956.61</x:v>
      </x:c>
      <x:c r="F8" s="170" t="n">
        <x:v>942.16</x:v>
      </x:c>
      <x:c r="G8" s="170" t="n">
        <x:v>1924.81</x:v>
      </x:c>
      <x:c r="H8" s="182" t="n">
        <x:f>G8/C8-1</x:f>
        <x:v>0.6623857806643292</x:v>
      </x:c>
      <x:c r="I8" s="182" t="n">
        <x:f>(G8/C8)^(1/4)-1</x:f>
        <x:v>0.1354890588215265</x:v>
      </x:c>
      <x:c r="J8" s="186" t="n">
        <x:f>RANK(G8,$G$6:$G$14,0)</x:f>
        <x:v>5</x:v>
      </x:c>
      <x:c r="K8" s="167"/>
      <x:c r="L8" s="167"/>
      <x:c r="M8" s="167"/>
      <x:c r="N8" s="167"/>
      <x:c r="O8" s="167"/>
      <x:c r="P8" s="167"/>
      <x:c r="Q8" s="167"/>
      <x:c r="R8" s="167"/>
    </x:row>
    <x:row r="9">
      <x:c r="A9" s="22" t="str">
        <x:v>Ministry of New &amp; Renewable Energy</x:v>
      </x:c>
      <x:c r="B9" s="22" t="str">
        <x:v>MNRE</x:v>
      </x:c>
      <x:c r="C9" s="170" t="n">
        <x:v>48.97</x:v>
      </x:c>
      <x:c r="D9" s="170" t="n">
        <x:v>59.8</x:v>
      </x:c>
      <x:c r="E9" s="170" t="n">
        <x:v>65.64</x:v>
      </x:c>
      <x:c r="F9" s="170" t="n">
        <x:v>72.58</x:v>
      </x:c>
      <x:c r="G9" s="170" t="n">
        <x:v>70.93</x:v>
      </x:c>
      <x:c r="H9" s="182" t="n">
        <x:f>G9/C9-1</x:f>
        <x:v>0.4484378190729019</x:v>
      </x:c>
      <x:c r="I9" s="182" t="n">
        <x:f>(G9/C9)^(1/4)-1</x:f>
        <x:v>0.09704631750456927</x:v>
      </x:c>
      <x:c r="J9" s="186" t="n">
        <x:f>RANK(G9,$G$6:$G$14,0)</x:f>
        <x:v>9</x:v>
      </x:c>
      <x:c r="K9" s="167"/>
      <x:c r="L9" s="167"/>
      <x:c r="M9" s="167"/>
      <x:c r="N9" s="167"/>
      <x:c r="O9" s="167"/>
      <x:c r="P9" s="167"/>
      <x:c r="Q9" s="167"/>
      <x:c r="R9" s="167"/>
    </x:row>
    <x:row r="10">
      <x:c r="A10" s="22" t="str">
        <x:v>Ministry of Earth Sciences</x:v>
      </x:c>
      <x:c r="B10" s="22" t="str">
        <x:v>MoES</x:v>
      </x:c>
      <x:c r="C10" s="170" t="n">
        <x:v>1163.31</x:v>
      </x:c>
      <x:c r="D10" s="170" t="n">
        <x:v>793.23</x:v>
      </x:c>
      <x:c r="E10" s="170" t="n">
        <x:v>1160.71</x:v>
      </x:c>
      <x:c r="F10" s="170" t="n">
        <x:v>1068.85</x:v>
      </x:c>
      <x:c r="G10" s="170" t="n">
        <x:v>1329.51</x:v>
      </x:c>
      <x:c r="H10" s="182" t="n">
        <x:f>G10/C10-1</x:f>
        <x:v>0.14286819506408444</x:v>
      </x:c>
      <x:c r="I10" s="182" t="n">
        <x:f>(G10/C10)^(1/4)-1</x:f>
        <x:v>0.03394880764652375</x:v>
      </x:c>
      <x:c r="J10" s="186" t="n">
        <x:f>RANK(G10,$G$6:$G$14,0)</x:f>
        <x:v>7</x:v>
      </x:c>
      <x:c r="K10" s="167"/>
      <x:c r="L10" s="167"/>
      <x:c r="M10" s="167"/>
      <x:c r="N10" s="167"/>
      <x:c r="O10" s="167"/>
      <x:c r="P10" s="167"/>
      <x:c r="Q10" s="167"/>
      <x:c r="R10" s="167"/>
    </x:row>
    <x:row r="11">
      <x:c r="A11" s="22" t="str">
        <x:v>Department of Science &amp; Technology</x:v>
      </x:c>
      <x:c r="B11" s="22" t="str">
        <x:v>DST</x:v>
      </x:c>
      <x:c r="C11" s="170" t="n">
        <x:v>4053.38</x:v>
      </x:c>
      <x:c r="D11" s="170" t="n">
        <x:v>3514.23</x:v>
      </x:c>
      <x:c r="E11" s="170" t="n">
        <x:v>4562.33</x:v>
      </x:c>
      <x:c r="F11" s="170" t="n">
        <x:v>3940.55</x:v>
      </x:c>
      <x:c r="G11" s="170" t="n">
        <x:v>3516.42</x:v>
      </x:c>
      <x:c r="H11" s="182" t="n">
        <x:f>G11/C11-1</x:f>
        <x:v>-0.13247215903764264</x:v>
      </x:c>
      <x:c r="I11" s="182" t="n">
        <x:f>(G11/C11)^(1/4)-1</x:f>
        <x:v>-0.03490324516055732</x:v>
      </x:c>
      <x:c r="J11" s="186" t="n">
        <x:f>RANK(G11,$G$6:$G$14,0)</x:f>
        <x:v>3</x:v>
      </x:c>
      <x:c r="K11" s="167"/>
      <x:c r="L11" s="167"/>
      <x:c r="M11" s="167"/>
      <x:c r="N11" s="167"/>
      <x:c r="O11" s="167"/>
      <x:c r="P11" s="167"/>
      <x:c r="Q11" s="167"/>
      <x:c r="R11" s="167"/>
    </x:row>
    <x:row r="12">
      <x:c r="A12" s="22" t="str">
        <x:v>Indian Council of Agricultural Research</x:v>
      </x:c>
      <x:c r="B12" s="22" t="str">
        <x:v>ICAR</x:v>
      </x:c>
      <x:c r="C12" s="170" t="n">
        <x:v>6152.02</x:v>
      </x:c>
      <x:c r="D12" s="170" t="n">
        <x:v>6358.66</x:v>
      </x:c>
      <x:c r="E12" s="170" t="n">
        <x:v>8214.02</x:v>
      </x:c>
      <x:c r="F12" s="170" t="n">
        <x:v>8410.82</x:v>
      </x:c>
      <x:c r="G12" s="170" t="n">
        <x:v>9176.45</x:v>
      </x:c>
      <x:c r="H12" s="182" t="n">
        <x:f>G12/C12-1</x:f>
        <x:v>0.4916157619773669</x:v>
      </x:c>
      <x:c r="I12" s="182" t="n">
        <x:f>(G12/C12)^(1/4)-1</x:f>
        <x:v>0.1051322202064775</x:v>
      </x:c>
      <x:c r="J12" s="186" t="n">
        <x:f>RANK(G12,$G$6:$G$14,0)</x:f>
        <x:v>1</x:v>
      </x:c>
      <x:c r="K12" s="167"/>
      <x:c r="L12" s="167"/>
      <x:c r="M12" s="167"/>
      <x:c r="N12" s="167"/>
      <x:c r="O12" s="167"/>
      <x:c r="P12" s="167"/>
      <x:c r="Q12" s="167"/>
      <x:c r="R12" s="167"/>
    </x:row>
    <x:row r="13">
      <x:c r="A13" s="22" t="str">
        <x:v>Indian Council of Medical Research</x:v>
      </x:c>
      <x:c r="B13" s="22" t="str">
        <x:v>ICMR</x:v>
      </x:c>
      <x:c r="C13" s="170" t="n">
        <x:v>1521.17</x:v>
      </x:c>
      <x:c r="D13" s="170" t="n">
        <x:v>1580.78</x:v>
      </x:c>
      <x:c r="E13" s="170" t="n">
        <x:v>1841.36</x:v>
      </x:c>
      <x:c r="F13" s="170" t="n">
        <x:v>2056.04</x:v>
      </x:c>
      <x:c r="G13" s="170" t="n">
        <x:v>2343.18</x:v>
      </x:c>
      <x:c r="H13" s="182" t="n">
        <x:f>G13/C13-1</x:f>
        <x:v>0.5403801021582071</x:v>
      </x:c>
      <x:c r="I13" s="182" t="n">
        <x:f>(G13/C13)^(1/4)-1</x:f>
        <x:v>0.11405587951151674</x:v>
      </x:c>
      <x:c r="J13" s="186" t="n">
        <x:f>RANK(G13,$G$6:$G$14,0)</x:f>
        <x:v>4</x:v>
      </x:c>
      <x:c r="K13" s="167"/>
      <x:c r="L13" s="167"/>
      <x:c r="M13" s="167"/>
      <x:c r="N13" s="167"/>
      <x:c r="O13" s="167"/>
      <x:c r="P13" s="167"/>
      <x:c r="Q13" s="167"/>
      <x:c r="R13" s="167"/>
    </x:row>
    <x:row r="14">
      <x:c r="A14" s="22" t="str">
        <x:v>Ministry of Environment, Forest &amp; Climate Change</x:v>
      </x:c>
      <x:c r="B14" s="22" t="str">
        <x:v>MoEFCC</x:v>
      </x:c>
      <x:c r="C14" s="170" t="n">
        <x:v>456.53</x:v>
      </x:c>
      <x:c r="D14" s="170" t="n">
        <x:v>422.66</x:v>
      </x:c>
      <x:c r="E14" s="170" t="n">
        <x:v>356.9</x:v>
      </x:c>
      <x:c r="F14" s="170" t="n">
        <x:v>441.34</x:v>
      </x:c>
      <x:c r="G14" s="170" t="n">
        <x:v>625.01</x:v>
      </x:c>
      <x:c r="H14" s="182" t="n">
        <x:f>G14/C14-1</x:f>
        <x:v>0.3690447506187984</x:v>
      </x:c>
      <x:c r="I14" s="182" t="n">
        <x:f>(G14/C14)^(1/4)-1</x:f>
        <x:v>0.0816939759486528</x:v>
      </x:c>
      <x:c r="J14" s="186" t="n">
        <x:f>RANK(G14,$G$6:$G$14,0)</x:f>
        <x:v>8</x:v>
      </x:c>
      <x:c r="K14" s="167"/>
      <x:c r="L14" s="167"/>
      <x:c r="M14" s="167"/>
      <x:c r="N14" s="167"/>
      <x:c r="O14" s="167"/>
      <x:c r="P14" s="167"/>
      <x:c r="Q14" s="167"/>
      <x:c r="R14" s="167"/>
    </x:row>
    <x:row r="15">
      <x:c r="A15" s="167"/>
      <x:c r="B15" s="167"/>
      <x:c r="C15" s="167"/>
      <x:c r="D15" s="167"/>
      <x:c r="E15" s="167"/>
      <x:c r="F15" s="167"/>
      <x:c r="G15" s="167"/>
      <x:c r="H15" s="167"/>
      <x:c r="I15" s="167"/>
      <x:c r="J15" s="167"/>
      <x:c r="K15" s="167"/>
      <x:c r="L15" s="167"/>
      <x:c r="M15" s="167"/>
      <x:c r="N15" s="167"/>
      <x:c r="O15" s="167"/>
      <x:c r="P15" s="167"/>
      <x:c r="Q15" s="167"/>
      <x:c r="R15" s="167"/>
    </x:row>
    <x:row r="16">
      <x:c r="A16" s="167"/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  <x:c r="P16" s="167"/>
      <x:c r="Q16" s="167"/>
      <x:c r="R16" s="167"/>
    </x:row>
    <x:row r="17">
      <x:c r="A17" s="173" t="str">
        <x:v>Coverage: nine non-strategic agencies consistently visible in DST Table 7 across FY2019-20–FY2023-24. Agency expenditure is not the same as all government financing: agencies may fund external performers, and other ministries also conduct or sponsor R&amp;D. Source: NSTMIS/DST, S&amp;T Indicators Tables 2025-26, Table 7.</x:v>
      </x:c>
      <x:c r="B17" s="174"/>
      <x:c r="C17" s="174"/>
      <x:c r="D17" s="174"/>
      <x:c r="E17" s="174"/>
      <x:c r="F17" s="174"/>
      <x:c r="G17" s="174"/>
      <x:c r="H17" s="174"/>
      <x:c r="I17" s="174"/>
      <x:c r="J17" s="175"/>
      <x:c r="K17" s="167"/>
      <x:c r="L17" s="167"/>
      <x:c r="M17" s="167"/>
      <x:c r="N17" s="167"/>
      <x:c r="O17" s="167"/>
      <x:c r="P17" s="167"/>
      <x:c r="Q17" s="167"/>
      <x:c r="R17" s="167"/>
    </x:row>
    <x:row r="18">
      <x:c r="A18" s="176"/>
      <x:c r="B18" s="177"/>
      <x:c r="C18" s="177"/>
      <x:c r="D18" s="177"/>
      <x:c r="E18" s="177"/>
      <x:c r="F18" s="177"/>
      <x:c r="G18" s="177"/>
      <x:c r="H18" s="177"/>
      <x:c r="I18" s="177"/>
      <x:c r="J18" s="178"/>
      <x:c r="K18" s="167"/>
      <x:c r="L18" s="167"/>
      <x:c r="M18" s="167"/>
      <x:c r="N18" s="167"/>
      <x:c r="O18" s="167"/>
      <x:c r="P18" s="167"/>
      <x:c r="Q18" s="167"/>
      <x:c r="R18" s="167"/>
    </x:row>
    <x:row r="19">
      <x:c r="A19" s="176"/>
      <x:c r="B19" s="177"/>
      <x:c r="C19" s="177"/>
      <x:c r="D19" s="177"/>
      <x:c r="E19" s="177"/>
      <x:c r="F19" s="177"/>
      <x:c r="G19" s="177"/>
      <x:c r="H19" s="177"/>
      <x:c r="I19" s="177"/>
      <x:c r="J19" s="178"/>
      <x:c r="K19" s="167"/>
      <x:c r="L19" s="167"/>
      <x:c r="M19" s="167"/>
      <x:c r="N19" s="167"/>
      <x:c r="O19" s="167"/>
      <x:c r="P19" s="167"/>
      <x:c r="Q19" s="167"/>
      <x:c r="R19" s="167"/>
    </x:row>
    <x:row r="20">
      <x:c r="A20" s="179"/>
      <x:c r="B20" s="180"/>
      <x:c r="C20" s="180"/>
      <x:c r="D20" s="180"/>
      <x:c r="E20" s="180"/>
      <x:c r="F20" s="180"/>
      <x:c r="G20" s="180"/>
      <x:c r="H20" s="180"/>
      <x:c r="I20" s="180"/>
      <x:c r="J20" s="181"/>
      <x:c r="K20" s="167"/>
      <x:c r="L20" s="167"/>
      <x:c r="M20" s="167"/>
      <x:c r="N20" s="167"/>
      <x:c r="O20" s="167"/>
      <x:c r="P20" s="167"/>
      <x:c r="Q20" s="167"/>
      <x:c r="R20" s="167"/>
    </x:row>
  </x:sheetData>
  <x:mergeCells>
    <x:mergeCell ref="A1:R2"/>
    <x:mergeCell ref="A3:R3"/>
    <x:mergeCell ref="A17:J20"/>
  </x:mergeCells>
  <x:pageMargins left="0.7" right="0.7" top="0.75" bottom="0.75" header="0.3" footer="0.3"/>
  <x:drawing xmlns:r="http://schemas.openxmlformats.org/officeDocument/2006/relationships" r:id="R1dc78d7031774722"/>
  <x:tableParts count="1">
    <x:tablePart xmlns:r="http://schemas.openxmlformats.org/officeDocument/2006/relationships" r:id="R75738d0e5d5042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47" hidden="0" customWidth="1"/>
  </x:cols>
  <x:sheetData>
    <x:row r="1" ht="26" customHeight="1">
      <x:c r="A1" s="150" t="str">
        <x:v>Public-industry R&amp;D by industry group</x:v>
      </x:c>
      <x:c r="B1" s="150"/>
      <x:c r="C1" s="150"/>
      <x:c r="D1" s="150"/>
      <x:c r="E1" s="150"/>
      <x:c r="F1" s="150"/>
      <x:c r="G1" s="150"/>
    </x:row>
    <x:row r="2" ht="26" customHeight="1">
      <x:c r="A2" s="150"/>
      <x:c r="B2" s="150"/>
      <x:c r="C2" s="150"/>
      <x:c r="D2" s="150"/>
      <x:c r="E2" s="150"/>
      <x:c r="F2" s="150"/>
      <x:c r="G2" s="150"/>
    </x:row>
    <x:row r="3" ht="34" customHeight="1">
      <x:c r="A3" s="151" t="str">
        <x:v>Detailed non-strategic profile. Named strategic rows in the source table are omitted completely under the agreed scope.</x:v>
      </x:c>
      <x:c r="B3" s="151"/>
      <x:c r="C3" s="151"/>
      <x:c r="D3" s="151"/>
      <x:c r="E3" s="151"/>
      <x:c r="F3" s="151"/>
      <x:c r="G3" s="151"/>
    </x:row>
    <x:row r="4">
      <x:c r="A4" s="167"/>
      <x:c r="B4" s="167"/>
      <x:c r="C4" s="167"/>
      <x:c r="D4" s="167"/>
      <x:c r="E4" s="167"/>
      <x:c r="F4" s="167"/>
      <x:c r="G4" s="167"/>
    </x:row>
    <x:row r="5">
      <x:c r="A5" s="154" t="str">
        <x:v>Industry group</x:v>
      </x:c>
      <x:c r="B5" s="154" t="str">
        <x:v>Strategic flag</x:v>
      </x:c>
      <x:c r="C5" s="154" t="str">
        <x:v>FY2021-22</x:v>
      </x:c>
      <x:c r="D5" s="154" t="str">
        <x:v>FY2022-23</x:v>
      </x:c>
      <x:c r="E5" s="154" t="str">
        <x:v>FY2023-24</x:v>
      </x:c>
      <x:c r="F5" s="154" t="str">
        <x:v>Transcription / scope note</x:v>
      </x:c>
      <x:c r="G5" s="167"/>
    </x:row>
    <x:row r="6">
      <x:c r="A6" s="22" t="str">
        <x:v>Agricultural Machinery</x:v>
      </x:c>
      <x:c r="B6" s="22" t="str">
        <x:v>No</x:v>
      </x:c>
      <x:c r="C6" s="170" t="n">
        <x:v>0.53</x:v>
      </x:c>
      <x:c r="D6" s="170" t="n">
        <x:v>0.4</x:v>
      </x:c>
      <x:c r="E6" s="170" t="n">
        <x:v>0.55</x:v>
      </x:c>
      <x:c r="F6" s="22" t="str"/>
      <x:c r="G6" s="167"/>
    </x:row>
    <x:row r="7">
      <x:c r="A7" s="22" t="str">
        <x:v>Biotechnology</x:v>
      </x:c>
      <x:c r="B7" s="22" t="str">
        <x:v>No</x:v>
      </x:c>
      <x:c r="C7" s="170" t="n">
        <x:v>1.24</x:v>
      </x:c>
      <x:c r="D7" s="170" t="n">
        <x:v>1.26</x:v>
      </x:c>
      <x:c r="E7" s="170" t="n">
        <x:v>1.83</x:v>
      </x:c>
      <x:c r="F7" s="22" t="str"/>
      <x:c r="G7" s="167"/>
    </x:row>
    <x:row r="8">
      <x:c r="A8" s="22" t="str">
        <x:v>Boilers &amp; Steam Generating Plants</x:v>
      </x:c>
      <x:c r="B8" s="22" t="str">
        <x:v>No</x:v>
      </x:c>
      <x:c r="C8" s="170" t="n">
        <x:v>222.48</x:v>
      </x:c>
      <x:c r="D8" s="170" t="n">
        <x:v>283.45</x:v>
      </x:c>
      <x:c r="E8" s="170" t="n">
        <x:v>483.63</x:v>
      </x:c>
      <x:c r="F8" s="22" t="str"/>
      <x:c r="G8" s="167"/>
    </x:row>
    <x:row r="9">
      <x:c r="A9" s="22" t="str">
        <x:v>Cement &amp; Gypsum</x:v>
      </x:c>
      <x:c r="B9" s="22" t="str">
        <x:v>No</x:v>
      </x:c>
      <x:c r="C9" s="170" t="n">
        <x:v>0</x:v>
      </x:c>
      <x:c r="D9" s="170" t="n">
        <x:v>0.1</x:v>
      </x:c>
      <x:c r="E9" s="170" t="n">
        <x:v>0.64</x:v>
      </x:c>
      <x:c r="F9" s="22" t="str"/>
      <x:c r="G9" s="167"/>
    </x:row>
    <x:row r="10">
      <x:c r="A10" s="22" t="str">
        <x:v>Chemicals other than Fertilizers</x:v>
      </x:c>
      <x:c r="B10" s="22" t="str">
        <x:v>No</x:v>
      </x:c>
      <x:c r="C10" s="170" t="n">
        <x:v>19.85</x:v>
      </x:c>
      <x:c r="D10" s="170" t="n">
        <x:v>25.51</x:v>
      </x:c>
      <x:c r="E10" s="170" t="n">
        <x:v>22.23</x:v>
      </x:c>
      <x:c r="F10" s="22" t="str"/>
      <x:c r="G10" s="167"/>
    </x:row>
    <x:row r="11">
      <x:c r="A11" s="22" t="str">
        <x:v>Consultancy</x:v>
      </x:c>
      <x:c r="B11" s="22" t="str">
        <x:v>No</x:v>
      </x:c>
      <x:c r="C11" s="170" t="n">
        <x:v>62.25</x:v>
      </x:c>
      <x:c r="D11" s="170" t="n">
        <x:v>109.9</x:v>
      </x:c>
      <x:c r="E11" s="170" t="n">
        <x:v>103.32</x:v>
      </x:c>
      <x:c r="F11" s="22" t="str">
        <x:v>Official table displays 109.9.0; interpreted as 109.90</x:v>
      </x:c>
      <x:c r="G11" s="167"/>
    </x:row>
    <x:row r="12">
      <x:c r="A12" s="22" t="str">
        <x:v>Drugs</x:v>
      </x:c>
      <x:c r="B12" s="22" t="str">
        <x:v>No</x:v>
      </x:c>
      <x:c r="C12" s="170" t="n">
        <x:v>3.63</x:v>
      </x:c>
      <x:c r="D12" s="170" t="n">
        <x:v>4.36</x:v>
      </x:c>
      <x:c r="E12" s="170" t="n">
        <x:v>3.3</x:v>
      </x:c>
      <x:c r="F12" s="22" t="str"/>
      <x:c r="G12" s="167"/>
    </x:row>
    <x:row r="13">
      <x:c r="A13" s="22" t="str">
        <x:v>Electricals</x:v>
      </x:c>
      <x:c r="B13" s="22" t="str">
        <x:v>No</x:v>
      </x:c>
      <x:c r="C13" s="170" t="n">
        <x:v>106.38</x:v>
      </x:c>
      <x:c r="D13" s="170" t="n">
        <x:v>85.75</x:v>
      </x:c>
      <x:c r="E13" s="170" t="n">
        <x:v>292.58</x:v>
      </x:c>
      <x:c r="F13" s="22" t="str"/>
      <x:c r="G13" s="167"/>
    </x:row>
    <x:row r="14">
      <x:c r="A14" s="22" t="str">
        <x:v>Fertilizers</x:v>
      </x:c>
      <x:c r="B14" s="22" t="str">
        <x:v>No</x:v>
      </x:c>
      <x:c r="C14" s="170" t="n">
        <x:v>51.77</x:v>
      </x:c>
      <x:c r="D14" s="170" t="n">
        <x:v>66.77</x:v>
      </x:c>
      <x:c r="E14" s="170" t="n">
        <x:v>66.36</x:v>
      </x:c>
      <x:c r="F14" s="22" t="str"/>
      <x:c r="G14" s="167"/>
    </x:row>
    <x:row r="15">
      <x:c r="A15" s="22" t="str">
        <x:v>Fuels</x:v>
      </x:c>
      <x:c r="B15" s="22" t="str">
        <x:v>No</x:v>
      </x:c>
      <x:c r="C15" s="170" t="n">
        <x:v>2067.96</x:v>
      </x:c>
      <x:c r="D15" s="170" t="n">
        <x:v>2154.29</x:v>
      </x:c>
      <x:c r="E15" s="170" t="n">
        <x:v>2641.08</x:v>
      </x:c>
      <x:c r="F15" s="22" t="str"/>
      <x:c r="G15" s="167"/>
    </x:row>
    <x:row r="16">
      <x:c r="A16" s="22" t="str">
        <x:v>Industrial Equipment</x:v>
      </x:c>
      <x:c r="B16" s="22" t="str">
        <x:v>No</x:v>
      </x:c>
      <x:c r="C16" s="170" t="n">
        <x:v>700</x:v>
      </x:c>
      <x:c r="D16" s="170" t="n">
        <x:v>690.85</x:v>
      </x:c>
      <x:c r="E16" s="170" t="n">
        <x:v>697.6</x:v>
      </x:c>
      <x:c r="F16" s="22" t="str"/>
      <x:c r="G16" s="167"/>
    </x:row>
    <x:row r="17">
      <x:c r="A17" s="22" t="str">
        <x:v>Industrial Machinery</x:v>
      </x:c>
      <x:c r="B17" s="22" t="str">
        <x:v>No</x:v>
      </x:c>
      <x:c r="C17" s="170" t="n">
        <x:v>2</x:v>
      </x:c>
      <x:c r="D17" s="170" t="n">
        <x:v>2.27</x:v>
      </x:c>
      <x:c r="E17" s="170" t="n">
        <x:v>0.8</x:v>
      </x:c>
      <x:c r="F17" s="22" t="str"/>
      <x:c r="G17" s="167"/>
    </x:row>
    <x:row r="18">
      <x:c r="A18" s="22" t="str">
        <x:v>Medical</x:v>
      </x:c>
      <x:c r="B18" s="22" t="str">
        <x:v>No</x:v>
      </x:c>
      <x:c r="C18" s="170" t="n">
        <x:v>6.71</x:v>
      </x:c>
      <x:c r="D18" s="170" t="n">
        <x:v>7.67</x:v>
      </x:c>
      <x:c r="E18" s="170" t="n">
        <x:v>9.88</x:v>
      </x:c>
      <x:c r="F18" s="22" t="str"/>
      <x:c r="G18" s="167"/>
    </x:row>
    <x:row r="19">
      <x:c r="A19" s="22" t="str">
        <x:v>Metallurgical</x:v>
      </x:c>
      <x:c r="B19" s="22" t="str">
        <x:v>No</x:v>
      </x:c>
      <x:c r="C19" s="170" t="n">
        <x:v>1296.88</x:v>
      </x:c>
      <x:c r="D19" s="170" t="n">
        <x:v>866.93</x:v>
      </x:c>
      <x:c r="E19" s="170" t="n">
        <x:v>558.38</x:v>
      </x:c>
      <x:c r="F19" s="22" t="str"/>
      <x:c r="G19" s="167"/>
    </x:row>
    <x:row r="20">
      <x:c r="A20" s="22" t="str">
        <x:v>Miscellaneous Mechanical Engineering</x:v>
      </x:c>
      <x:c r="B20" s="22" t="str">
        <x:v>No</x:v>
      </x:c>
      <x:c r="C20" s="170" t="n">
        <x:v>36.9</x:v>
      </x:c>
      <x:c r="D20" s="170" t="n">
        <x:v>34.06</x:v>
      </x:c>
      <x:c r="E20" s="170" t="n">
        <x:v>52.65</x:v>
      </x:c>
      <x:c r="F20" s="22" t="str"/>
      <x:c r="G20" s="167"/>
    </x:row>
    <x:row r="21">
      <x:c r="A21" s="22" t="str">
        <x:v>Paper</x:v>
      </x:c>
      <x:c r="B21" s="22" t="str">
        <x:v>No</x:v>
      </x:c>
      <x:c r="C21" s="170" t="n">
        <x:v>12.87</x:v>
      </x:c>
      <x:c r="D21" s="170" t="n">
        <x:v>15.11</x:v>
      </x:c>
      <x:c r="E21" s="170" t="n">
        <x:v>19.33</x:v>
      </x:c>
      <x:c r="F21" s="22" t="str"/>
      <x:c r="G21" s="167"/>
    </x:row>
    <x:row r="22">
      <x:c r="A22" s="22" t="str">
        <x:v>Scientific Instruments</x:v>
      </x:c>
      <x:c r="B22" s="22" t="str">
        <x:v>No</x:v>
      </x:c>
      <x:c r="C22" s="170" t="n">
        <x:v>3.07</x:v>
      </x:c>
      <x:c r="D22" s="170" t="n">
        <x:v>2.98</x:v>
      </x:c>
      <x:c r="E22" s="170" t="n">
        <x:v>2.68</x:v>
      </x:c>
      <x:c r="F22" s="22" t="str"/>
      <x:c r="G22" s="167"/>
    </x:row>
    <x:row r="23">
      <x:c r="A23" s="22" t="str">
        <x:v>Soaps</x:v>
      </x:c>
      <x:c r="B23" s="22" t="str">
        <x:v>No</x:v>
      </x:c>
      <x:c r="C23" s="170" t="n">
        <x:v>0.26</x:v>
      </x:c>
      <x:c r="D23" s="170" t="n">
        <x:v>0.31</x:v>
      </x:c>
      <x:c r="E23" s="170" t="n">
        <x:v>0.61</x:v>
      </x:c>
      <x:c r="F23" s="22" t="str"/>
      <x:c r="G23" s="167"/>
    </x:row>
    <x:row r="24">
      <x:c r="A24" s="22" t="str">
        <x:v>Sugar</x:v>
      </x:c>
      <x:c r="B24" s="22" t="str">
        <x:v>No</x:v>
      </x:c>
      <x:c r="C24" s="170" t="n">
        <x:v>0.98</x:v>
      </x:c>
      <x:c r="D24" s="170" t="n">
        <x:v>0.86</x:v>
      </x:c>
      <x:c r="E24" s="170" t="n">
        <x:v>0.7</x:v>
      </x:c>
      <x:c r="F24" s="22" t="str"/>
      <x:c r="G24" s="167"/>
    </x:row>
    <x:row r="25">
      <x:c r="A25" s="22" t="str">
        <x:v>Telecommunications</x:v>
      </x:c>
      <x:c r="B25" s="22" t="str">
        <x:v>No</x:v>
      </x:c>
      <x:c r="C25" s="170" t="n">
        <x:v>20.83</x:v>
      </x:c>
      <x:c r="D25" s="170" t="n">
        <x:v>18.82</x:v>
      </x:c>
      <x:c r="E25" s="170" t="n">
        <x:v>21.8</x:v>
      </x:c>
      <x:c r="F25" s="22" t="str"/>
      <x:c r="G25" s="167"/>
    </x:row>
    <x:row r="26">
      <x:c r="A26" s="22" t="str">
        <x:v>Textiles</x:v>
      </x:c>
      <x:c r="B26" s="22" t="str">
        <x:v>No</x:v>
      </x:c>
      <x:c r="C26" s="170" t="n">
        <x:v>0.18</x:v>
      </x:c>
      <x:c r="D26" s="170" t="n">
        <x:v>0.18</x:v>
      </x:c>
      <x:c r="E26" s="170" t="n">
        <x:v>0.18</x:v>
      </x:c>
      <x:c r="F26" s="22" t="str"/>
      <x:c r="G26" s="167"/>
    </x:row>
    <x:row r="27">
      <x:c r="A27" s="22" t="str">
        <x:v>Transportation</x:v>
      </x:c>
      <x:c r="B27" s="22" t="str">
        <x:v>No</x:v>
      </x:c>
      <x:c r="C27" s="170" t="n">
        <x:v>99.98</x:v>
      </x:c>
      <x:c r="D27" s="170" t="n">
        <x:v>247.91</x:v>
      </x:c>
      <x:c r="E27" s="170" t="n">
        <x:v>149.5</x:v>
      </x:c>
      <x:c r="F27" s="22" t="str"/>
      <x:c r="G27" s="167"/>
    </x:row>
    <x:row r="28">
      <x:c r="A28" s="167"/>
      <x:c r="B28" s="167"/>
      <x:c r="C28" s="167"/>
      <x:c r="D28" s="167"/>
      <x:c r="E28" s="167"/>
      <x:c r="F28" s="167"/>
      <x:c r="G28" s="167"/>
    </x:row>
    <x:row r="29">
      <x:c r="A29" s="168" t="str">
        <x:v>Displayed non-strategic subtotal</x:v>
      </x:c>
      <x:c r="B29" s="168"/>
      <x:c r="C29" s="168"/>
      <x:c r="D29" s="168"/>
      <x:c r="E29" s="168"/>
      <x:c r="F29" s="168"/>
      <x:c r="G29" s="167"/>
    </x:row>
    <x:row r="30">
      <x:c r="A30" s="154" t="str">
        <x:v>Measure</x:v>
      </x:c>
      <x:c r="B30" s="154" t="str">
        <x:v>FY2021-22</x:v>
      </x:c>
      <x:c r="C30" s="154" t="str">
        <x:v>FY2022-23</x:v>
      </x:c>
      <x:c r="D30" s="154" t="str">
        <x:v>FY2023-24</x:v>
      </x:c>
      <x:c r="E30" s="167"/>
      <x:c r="F30" s="167"/>
      <x:c r="G30" s="167"/>
    </x:row>
    <x:row r="31">
      <x:c r="A31" s="22" t="str">
        <x:v>Sum of displayed rows</x:v>
      </x:c>
      <x:c r="B31" s="170" t="n">
        <x:f>ROUND(SUM(C6:C27),2)</x:f>
        <x:v>4716.75</x:v>
      </x:c>
      <x:c r="C31" s="170" t="n">
        <x:f>ROUND(SUM(D6:D27),2)</x:f>
        <x:v>4619.74</x:v>
      </x:c>
      <x:c r="D31" s="170" t="n">
        <x:f>ROUND(SUM(E6:E27),2)</x:f>
        <x:v>5129.63</x:v>
      </x:c>
      <x:c r="E31" s="167"/>
      <x:c r="F31" s="167"/>
      <x:c r="G31" s="167"/>
    </x:row>
    <x:row r="32">
      <x:c r="A32" s="167"/>
      <x:c r="B32" s="167"/>
      <x:c r="C32" s="167"/>
      <x:c r="D32" s="167"/>
      <x:c r="E32" s="167"/>
      <x:c r="F32" s="167"/>
      <x:c r="G32" s="167"/>
    </x:row>
    <x:row r="33">
      <x:c r="A33" s="173" t="str">
        <x:v>Source: NSTMIS/DST, S&amp;T Indicators Tables 2025-26, Table 15. The named strategic row is omitted, so this displayed subtotal is intentionally not reconciled to the full industry-performer total. Small table-level rounding differences also exist.</x:v>
      </x:c>
      <x:c r="B33" s="174"/>
      <x:c r="C33" s="174"/>
      <x:c r="D33" s="174"/>
      <x:c r="E33" s="174"/>
      <x:c r="F33" s="175"/>
      <x:c r="G33" s="167"/>
    </x:row>
    <x:row r="34">
      <x:c r="A34" s="176"/>
      <x:c r="B34" s="177"/>
      <x:c r="C34" s="177"/>
      <x:c r="D34" s="177"/>
      <x:c r="E34" s="177"/>
      <x:c r="F34" s="178"/>
      <x:c r="G34" s="167"/>
    </x:row>
    <x:row r="35">
      <x:c r="A35" s="176"/>
      <x:c r="B35" s="177"/>
      <x:c r="C35" s="177"/>
      <x:c r="D35" s="177"/>
      <x:c r="E35" s="177"/>
      <x:c r="F35" s="178"/>
      <x:c r="G35" s="167"/>
    </x:row>
    <x:row r="36">
      <x:c r="A36" s="179"/>
      <x:c r="B36" s="180"/>
      <x:c r="C36" s="180"/>
      <x:c r="D36" s="180"/>
      <x:c r="E36" s="180"/>
      <x:c r="F36" s="181"/>
      <x:c r="G36" s="167"/>
    </x:row>
  </x:sheetData>
  <x:mergeCells>
    <x:mergeCell ref="A1:G2"/>
    <x:mergeCell ref="A3:G3"/>
    <x:mergeCell ref="A29:F29"/>
    <x:mergeCell ref="A33:F36"/>
  </x:mergeCells>
  <x:pageMargins left="0.7" right="0.7" top="0.75" bottom="0.75" header="0.3" footer="0.3"/>
  <x:tableParts count="1">
    <x:tablePart xmlns:r="http://schemas.openxmlformats.org/officeDocument/2006/relationships" r:id="Reb7c5e36744345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47" hidden="0" customWidth="1"/>
  </x:cols>
  <x:sheetData>
    <x:row r="1" ht="26" customHeight="1">
      <x:c r="A1" s="150" t="str">
        <x:v>Private-industry R&amp;D by industry group</x:v>
      </x:c>
      <x:c r="B1" s="150"/>
      <x:c r="C1" s="150"/>
      <x:c r="D1" s="150"/>
      <x:c r="E1" s="150"/>
      <x:c r="F1" s="150"/>
      <x:c r="G1" s="150"/>
    </x:row>
    <x:row r="2" ht="26" customHeight="1">
      <x:c r="A2" s="150"/>
      <x:c r="B2" s="150"/>
      <x:c r="C2" s="150"/>
      <x:c r="D2" s="150"/>
      <x:c r="E2" s="150"/>
      <x:c r="F2" s="150"/>
      <x:c r="G2" s="150"/>
    </x:row>
    <x:row r="3" ht="34" customHeight="1">
      <x:c r="A3" s="151" t="str">
        <x:v>Detailed non-strategic profile. Named strategic rows in the source table are omitted completely under the agreed scope.</x:v>
      </x:c>
      <x:c r="B3" s="151"/>
      <x:c r="C3" s="151"/>
      <x:c r="D3" s="151"/>
      <x:c r="E3" s="151"/>
      <x:c r="F3" s="151"/>
      <x:c r="G3" s="151"/>
    </x:row>
    <x:row r="4">
      <x:c r="A4" s="167"/>
      <x:c r="B4" s="167"/>
      <x:c r="C4" s="167"/>
      <x:c r="D4" s="167"/>
      <x:c r="E4" s="167"/>
      <x:c r="F4" s="167"/>
      <x:c r="G4" s="167"/>
    </x:row>
    <x:row r="5">
      <x:c r="A5" s="154" t="str">
        <x:v>Industry group</x:v>
      </x:c>
      <x:c r="B5" s="154" t="str">
        <x:v>Strategic flag</x:v>
      </x:c>
      <x:c r="C5" s="154" t="str">
        <x:v>FY2021-22</x:v>
      </x:c>
      <x:c r="D5" s="154" t="str">
        <x:v>FY2022-23</x:v>
      </x:c>
      <x:c r="E5" s="154" t="str">
        <x:v>FY2023-24</x:v>
      </x:c>
      <x:c r="F5" s="154" t="str">
        <x:v>Transcription / scope note</x:v>
      </x:c>
      <x:c r="G5" s="167"/>
    </x:row>
    <x:row r="6">
      <x:c r="A6" s="22" t="str">
        <x:v>Agricultural Machinery</x:v>
      </x:c>
      <x:c r="B6" s="22" t="str">
        <x:v>No</x:v>
      </x:c>
      <x:c r="C6" s="170" t="n">
        <x:v>1460.91</x:v>
      </x:c>
      <x:c r="D6" s="170" t="n">
        <x:v>1617.61</x:v>
      </x:c>
      <x:c r="E6" s="170" t="n">
        <x:v>1846.28</x:v>
      </x:c>
      <x:c r="F6" s="22" t="str"/>
      <x:c r="G6" s="167"/>
    </x:row>
    <x:row r="7">
      <x:c r="A7" s="22" t="str">
        <x:v>Biotechnology</x:v>
      </x:c>
      <x:c r="B7" s="22" t="str">
        <x:v>No</x:v>
      </x:c>
      <x:c r="C7" s="170" t="n">
        <x:v>6274.6</x:v>
      </x:c>
      <x:c r="D7" s="170" t="n">
        <x:v>9752.36</x:v>
      </x:c>
      <x:c r="E7" s="170" t="n">
        <x:v>10321</x:v>
      </x:c>
      <x:c r="F7" s="22" t="str"/>
      <x:c r="G7" s="167"/>
    </x:row>
    <x:row r="8">
      <x:c r="A8" s="22" t="str">
        <x:v>Boilers</x:v>
      </x:c>
      <x:c r="B8" s="22" t="str">
        <x:v>No</x:v>
      </x:c>
      <x:c r="C8" s="170" t="n">
        <x:v>11</x:v>
      </x:c>
      <x:c r="D8" s="170" t="n">
        <x:v>13.95</x:v>
      </x:c>
      <x:c r="E8" s="170" t="n">
        <x:v>13.4</x:v>
      </x:c>
      <x:c r="F8" s="22" t="str"/>
      <x:c r="G8" s="167"/>
    </x:row>
    <x:row r="9">
      <x:c r="A9" s="22" t="str">
        <x:v>Cement</x:v>
      </x:c>
      <x:c r="B9" s="22" t="str">
        <x:v>No</x:v>
      </x:c>
      <x:c r="C9" s="170" t="n">
        <x:v>429.21</x:v>
      </x:c>
      <x:c r="D9" s="170" t="n">
        <x:v>93.52</x:v>
      </x:c>
      <x:c r="E9" s="170" t="n">
        <x:v>119.47</x:v>
      </x:c>
      <x:c r="F9" s="22" t="str"/>
      <x:c r="G9" s="167"/>
    </x:row>
    <x:row r="10">
      <x:c r="A10" s="22" t="str">
        <x:v>Ceramics</x:v>
      </x:c>
      <x:c r="B10" s="22" t="str">
        <x:v>No</x:v>
      </x:c>
      <x:c r="C10" s="170" t="n">
        <x:v>81.73</x:v>
      </x:c>
      <x:c r="D10" s="170" t="n">
        <x:v>87.83</x:v>
      </x:c>
      <x:c r="E10" s="170" t="n">
        <x:v>83.01</x:v>
      </x:c>
      <x:c r="F10" s="22" t="str"/>
      <x:c r="G10" s="167"/>
    </x:row>
    <x:row r="11">
      <x:c r="A11" s="22" t="str">
        <x:v>Chemicals other than Fertilizers</x:v>
      </x:c>
      <x:c r="B11" s="22" t="str">
        <x:v>No</x:v>
      </x:c>
      <x:c r="C11" s="170" t="n">
        <x:v>2615.24</x:v>
      </x:c>
      <x:c r="D11" s="170" t="n">
        <x:v>3032.35</x:v>
      </x:c>
      <x:c r="E11" s="170" t="n">
        <x:v>3345.76</x:v>
      </x:c>
      <x:c r="F11" s="22" t="str"/>
      <x:c r="G11" s="167"/>
    </x:row>
    <x:row r="12">
      <x:c r="A12" s="22" t="str">
        <x:v>Commercial, Office &amp; Household Equipment</x:v>
      </x:c>
      <x:c r="B12" s="22" t="str">
        <x:v>No</x:v>
      </x:c>
      <x:c r="C12" s="170" t="n">
        <x:v>253.22</x:v>
      </x:c>
      <x:c r="D12" s="170" t="n">
        <x:v>273.4</x:v>
      </x:c>
      <x:c r="E12" s="170" t="n">
        <x:v>389.63</x:v>
      </x:c>
      <x:c r="F12" s="22" t="str"/>
      <x:c r="G12" s="167"/>
    </x:row>
    <x:row r="13">
      <x:c r="A13" s="22" t="str">
        <x:v>Consultancy</x:v>
      </x:c>
      <x:c r="B13" s="22" t="str">
        <x:v>No</x:v>
      </x:c>
      <x:c r="C13" s="170" t="n">
        <x:v>64.16</x:v>
      </x:c>
      <x:c r="D13" s="170" t="n">
        <x:v>73</x:v>
      </x:c>
      <x:c r="E13" s="170" t="n">
        <x:v>108.26</x:v>
      </x:c>
      <x:c r="F13" s="22" t="str"/>
      <x:c r="G13" s="167"/>
    </x:row>
    <x:row r="14">
      <x:c r="A14" s="22" t="str">
        <x:v>Drugs &amp; Pharmaceuticals</x:v>
      </x:c>
      <x:c r="B14" s="22" t="str">
        <x:v>No</x:v>
      </x:c>
      <x:c r="C14" s="170" t="n">
        <x:v>22117.44</x:v>
      </x:c>
      <x:c r="D14" s="170" t="n">
        <x:v>22421.6</x:v>
      </x:c>
      <x:c r="E14" s="170" t="n">
        <x:v>25846.63</x:v>
      </x:c>
      <x:c r="F14" s="22" t="str"/>
      <x:c r="G14" s="167"/>
    </x:row>
    <x:row r="15">
      <x:c r="A15" s="22" t="str">
        <x:v>Dyestuffs</x:v>
      </x:c>
      <x:c r="B15" s="22" t="str">
        <x:v>No</x:v>
      </x:c>
      <x:c r="C15" s="170" t="n">
        <x:v>47.81</x:v>
      </x:c>
      <x:c r="D15" s="170" t="n">
        <x:v>54.62</x:v>
      </x:c>
      <x:c r="E15" s="170" t="n">
        <x:v>59.18</x:v>
      </x:c>
      <x:c r="F15" s="22" t="str"/>
      <x:c r="G15" s="167"/>
    </x:row>
    <x:row r="16">
      <x:c r="A16" s="22" t="str">
        <x:v>Earth Moving Machinery</x:v>
      </x:c>
      <x:c r="B16" s="22" t="str">
        <x:v>No</x:v>
      </x:c>
      <x:c r="C16" s="170" t="n">
        <x:v>92.05</x:v>
      </x:c>
      <x:c r="D16" s="170" t="n">
        <x:v>107.74</x:v>
      </x:c>
      <x:c r="E16" s="170" t="n">
        <x:v>151.38</x:v>
      </x:c>
      <x:c r="F16" s="22" t="str"/>
      <x:c r="G16" s="167"/>
    </x:row>
    <x:row r="17">
      <x:c r="A17" s="22" t="str">
        <x:v>Electricals &amp; Electronics</x:v>
      </x:c>
      <x:c r="B17" s="22" t="str">
        <x:v>No</x:v>
      </x:c>
      <x:c r="C17" s="170" t="n">
        <x:v>4239.41</x:v>
      </x:c>
      <x:c r="D17" s="170" t="n">
        <x:v>5354.57</x:v>
      </x:c>
      <x:c r="E17" s="170" t="n">
        <x:v>6779.18</x:v>
      </x:c>
      <x:c r="F17" s="22" t="str"/>
      <x:c r="G17" s="167"/>
    </x:row>
    <x:row r="18">
      <x:c r="A18" s="22" t="str">
        <x:v>Fermentation Industries</x:v>
      </x:c>
      <x:c r="B18" s="22" t="str">
        <x:v>No</x:v>
      </x:c>
      <x:c r="C18" s="170" t="n">
        <x:v>22.87</x:v>
      </x:c>
      <x:c r="D18" s="170" t="n">
        <x:v>37.02</x:v>
      </x:c>
      <x:c r="E18" s="170" t="n">
        <x:v>37.81</x:v>
      </x:c>
      <x:c r="F18" s="22" t="str"/>
      <x:c r="G18" s="167"/>
    </x:row>
    <x:row r="19">
      <x:c r="A19" s="22" t="str">
        <x:v>Fertilizers</x:v>
      </x:c>
      <x:c r="B19" s="22" t="str">
        <x:v>No</x:v>
      </x:c>
      <x:c r="C19" s="170" t="n">
        <x:v>120.86</x:v>
      </x:c>
      <x:c r="D19" s="170" t="n">
        <x:v>160.59</x:v>
      </x:c>
      <x:c r="E19" s="170" t="n">
        <x:v>161.47</x:v>
      </x:c>
      <x:c r="F19" s="22" t="str"/>
      <x:c r="G19" s="167"/>
    </x:row>
    <x:row r="20">
      <x:c r="A20" s="22" t="str">
        <x:v>Food Processing Industries</x:v>
      </x:c>
      <x:c r="B20" s="22" t="str">
        <x:v>No</x:v>
      </x:c>
      <x:c r="C20" s="170" t="n">
        <x:v>729.1</x:v>
      </x:c>
      <x:c r="D20" s="170" t="n">
        <x:v>809.63</x:v>
      </x:c>
      <x:c r="E20" s="170" t="n">
        <x:v>893.43</x:v>
      </x:c>
      <x:c r="F20" s="22" t="str"/>
      <x:c r="G20" s="167"/>
    </x:row>
    <x:row r="21">
      <x:c r="A21" s="22" t="str">
        <x:v>Fuels</x:v>
      </x:c>
      <x:c r="B21" s="22" t="str">
        <x:v>No</x:v>
      </x:c>
      <x:c r="C21" s="170" t="n">
        <x:v>2677.06</x:v>
      </x:c>
      <x:c r="D21" s="170" t="n">
        <x:v>3073.63</x:v>
      </x:c>
      <x:c r="E21" s="170" t="n">
        <x:v>3727.38</x:v>
      </x:c>
      <x:c r="F21" s="22" t="str"/>
      <x:c r="G21" s="167"/>
    </x:row>
    <x:row r="22">
      <x:c r="A22" s="22" t="str">
        <x:v>Glass</x:v>
      </x:c>
      <x:c r="B22" s="22" t="str">
        <x:v>No</x:v>
      </x:c>
      <x:c r="C22" s="170" t="n">
        <x:v>184.64</x:v>
      </x:c>
      <x:c r="D22" s="170" t="n">
        <x:v>171.56</x:v>
      </x:c>
      <x:c r="E22" s="170" t="n">
        <x:v>189.05</x:v>
      </x:c>
      <x:c r="F22" s="22" t="str"/>
      <x:c r="G22" s="167"/>
    </x:row>
    <x:row r="23">
      <x:c r="A23" s="22" t="str">
        <x:v>Glue</x:v>
      </x:c>
      <x:c r="B23" s="22" t="str">
        <x:v>No</x:v>
      </x:c>
      <x:c r="C23" s="170" t="n">
        <x:v>5</x:v>
      </x:c>
      <x:c r="D23" s="170" t="n">
        <x:v>4.37</x:v>
      </x:c>
      <x:c r="E23" s="170" t="n">
        <x:v>10.47</x:v>
      </x:c>
      <x:c r="F23" s="22" t="str"/>
      <x:c r="G23" s="167"/>
    </x:row>
    <x:row r="24">
      <x:c r="A24" s="22" t="str">
        <x:v>Industrial Equipment</x:v>
      </x:c>
      <x:c r="B24" s="22" t="str">
        <x:v>No</x:v>
      </x:c>
      <x:c r="C24" s="170" t="n">
        <x:v>895.15</x:v>
      </x:c>
      <x:c r="D24" s="170" t="n">
        <x:v>1032.37</x:v>
      </x:c>
      <x:c r="E24" s="170" t="n">
        <x:v>1182.75</x:v>
      </x:c>
      <x:c r="F24" s="22" t="str"/>
      <x:c r="G24" s="167"/>
    </x:row>
    <x:row r="25">
      <x:c r="A25" s="22" t="str">
        <x:v>Industrial Machinery</x:v>
      </x:c>
      <x:c r="B25" s="22" t="str">
        <x:v>No</x:v>
      </x:c>
      <x:c r="C25" s="170" t="n">
        <x:v>529.99</x:v>
      </x:c>
      <x:c r="D25" s="170" t="n">
        <x:v>597.55</x:v>
      </x:c>
      <x:c r="E25" s="170" t="n">
        <x:v>697.05</x:v>
      </x:c>
      <x:c r="F25" s="22" t="str"/>
      <x:c r="G25" s="167"/>
    </x:row>
    <x:row r="26">
      <x:c r="A26" s="22" t="str">
        <x:v>Information Technology</x:v>
      </x:c>
      <x:c r="B26" s="22" t="str">
        <x:v>No</x:v>
      </x:c>
      <x:c r="C26" s="170" t="n">
        <x:v>5593.33</x:v>
      </x:c>
      <x:c r="D26" s="170" t="n">
        <x:v>6367.25</x:v>
      </x:c>
      <x:c r="E26" s="170" t="n">
        <x:v>9587.44</x:v>
      </x:c>
      <x:c r="F26" s="22" t="str"/>
      <x:c r="G26" s="167"/>
    </x:row>
    <x:row r="27">
      <x:c r="A27" s="22" t="str">
        <x:v>Leather</x:v>
      </x:c>
      <x:c r="B27" s="22" t="str">
        <x:v>No</x:v>
      </x:c>
      <x:c r="C27" s="170" t="n">
        <x:v>23.2</x:v>
      </x:c>
      <x:c r="D27" s="170" t="n">
        <x:v>22.26</x:v>
      </x:c>
      <x:c r="E27" s="170" t="n">
        <x:v>23.05</x:v>
      </x:c>
      <x:c r="F27" s="22" t="str"/>
      <x:c r="G27" s="167"/>
    </x:row>
    <x:row r="28">
      <x:c r="A28" s="22" t="str">
        <x:v>Machine Tools</x:v>
      </x:c>
      <x:c r="B28" s="22" t="str">
        <x:v>No</x:v>
      </x:c>
      <x:c r="C28" s="170" t="n">
        <x:v>188</x:v>
      </x:c>
      <x:c r="D28" s="170" t="n">
        <x:v>348.27</x:v>
      </x:c>
      <x:c r="E28" s="170" t="n">
        <x:v>461.07</x:v>
      </x:c>
      <x:c r="F28" s="22" t="str"/>
      <x:c r="G28" s="167"/>
    </x:row>
    <x:row r="29">
      <x:c r="A29" s="22" t="str">
        <x:v>Mathematical &amp; Surveying Instruments</x:v>
      </x:c>
      <x:c r="B29" s="22" t="str">
        <x:v>No</x:v>
      </x:c>
      <x:c r="C29" s="170" t="n">
        <x:v>0.27</x:v>
      </x:c>
      <x:c r="D29" s="170" t="n">
        <x:v>0.3</x:v>
      </x:c>
      <x:c r="E29" s="170" t="n">
        <x:v>0.16</x:v>
      </x:c>
      <x:c r="F29" s="22" t="str"/>
      <x:c r="G29" s="167"/>
    </x:row>
    <x:row r="30">
      <x:c r="A30" s="22" t="str">
        <x:v>Medical</x:v>
      </x:c>
      <x:c r="B30" s="22" t="str">
        <x:v>No</x:v>
      </x:c>
      <x:c r="C30" s="170" t="n">
        <x:v>207.19</x:v>
      </x:c>
      <x:c r="D30" s="170" t="n">
        <x:v>223.75</x:v>
      </x:c>
      <x:c r="E30" s="170" t="n">
        <x:v>291.94</x:v>
      </x:c>
      <x:c r="F30" s="22" t="str"/>
      <x:c r="G30" s="167"/>
    </x:row>
    <x:row r="31">
      <x:c r="A31" s="22" t="str">
        <x:v>Metallurgical Industries</x:v>
      </x:c>
      <x:c r="B31" s="22" t="str">
        <x:v>No</x:v>
      </x:c>
      <x:c r="C31" s="170" t="n">
        <x:v>537.58</x:v>
      </x:c>
      <x:c r="D31" s="170" t="n">
        <x:v>647.07</x:v>
      </x:c>
      <x:c r="E31" s="170" t="n">
        <x:v>705.64</x:v>
      </x:c>
      <x:c r="F31" s="22" t="str"/>
      <x:c r="G31" s="167"/>
    </x:row>
    <x:row r="32">
      <x:c r="A32" s="22" t="str">
        <x:v>Miscellaneous Mechanical Engineering</x:v>
      </x:c>
      <x:c r="B32" s="22" t="str">
        <x:v>No</x:v>
      </x:c>
      <x:c r="C32" s="170" t="n">
        <x:v>213.85</x:v>
      </x:c>
      <x:c r="D32" s="170" t="n">
        <x:v>292.95</x:v>
      </x:c>
      <x:c r="E32" s="170" t="n">
        <x:v>313.48</x:v>
      </x:c>
      <x:c r="F32" s="22" t="str"/>
      <x:c r="G32" s="167"/>
    </x:row>
    <x:row r="33">
      <x:c r="A33" s="22" t="str">
        <x:v>Miscellaneous Industries</x:v>
      </x:c>
      <x:c r="B33" s="22" t="str">
        <x:v>No</x:v>
      </x:c>
      <x:c r="C33" s="170" t="n">
        <x:v>212.91</x:v>
      </x:c>
      <x:c r="D33" s="170" t="n">
        <x:v>198.51</x:v>
      </x:c>
      <x:c r="E33" s="170" t="n">
        <x:v>225.18</x:v>
      </x:c>
      <x:c r="F33" s="22" t="str"/>
      <x:c r="G33" s="167"/>
    </x:row>
    <x:row r="34">
      <x:c r="A34" s="22" t="str">
        <x:v>Paper</x:v>
      </x:c>
      <x:c r="B34" s="22" t="str">
        <x:v>No</x:v>
      </x:c>
      <x:c r="C34" s="170" t="n">
        <x:v>34.4</x:v>
      </x:c>
      <x:c r="D34" s="170" t="n">
        <x:v>37.57</x:v>
      </x:c>
      <x:c r="E34" s="170" t="n">
        <x:v>41.44</x:v>
      </x:c>
      <x:c r="F34" s="22" t="str"/>
      <x:c r="G34" s="167"/>
    </x:row>
    <x:row r="35">
      <x:c r="A35" s="22" t="str">
        <x:v>Photographic &amp; Cinematographic Equipment</x:v>
      </x:c>
      <x:c r="B35" s="22" t="str">
        <x:v>No</x:v>
      </x:c>
      <x:c r="C35" s="170" t="n">
        <x:v>14.51</x:v>
      </x:c>
      <x:c r="D35" s="170" t="n">
        <x:v>13.24</x:v>
      </x:c>
      <x:c r="E35" s="170" t="n">
        <x:v>8.84</x:v>
      </x:c>
      <x:c r="F35" s="22" t="str"/>
      <x:c r="G35" s="167"/>
    </x:row>
    <x:row r="36">
      <x:c r="A36" s="22" t="str">
        <x:v>Prime Movers</x:v>
      </x:c>
      <x:c r="B36" s="22" t="str">
        <x:v>No</x:v>
      </x:c>
      <x:c r="C36" s="170" t="n">
        <x:v>9.51</x:v>
      </x:c>
      <x:c r="D36" s="170" t="n">
        <x:v>12.21</x:v>
      </x:c>
      <x:c r="E36" s="170" t="n">
        <x:v>10.03</x:v>
      </x:c>
      <x:c r="F36" s="22" t="str"/>
      <x:c r="G36" s="167"/>
    </x:row>
    <x:row r="37">
      <x:c r="A37" s="22" t="str">
        <x:v>Rubber</x:v>
      </x:c>
      <x:c r="B37" s="22" t="str">
        <x:v>No</x:v>
      </x:c>
      <x:c r="C37" s="170" t="n">
        <x:v>771.66</x:v>
      </x:c>
      <x:c r="D37" s="170" t="n">
        <x:v>986.15</x:v>
      </x:c>
      <x:c r="E37" s="170" t="n">
        <x:v>1148.43</x:v>
      </x:c>
      <x:c r="F37" s="22" t="str"/>
      <x:c r="G37" s="167"/>
    </x:row>
    <x:row r="38">
      <x:c r="A38" s="22" t="str">
        <x:v>Scientific Instruments</x:v>
      </x:c>
      <x:c r="B38" s="22" t="str">
        <x:v>No</x:v>
      </x:c>
      <x:c r="C38" s="170" t="n">
        <x:v>194.56</x:v>
      </x:c>
      <x:c r="D38" s="170" t="n">
        <x:v>218.42</x:v>
      </x:c>
      <x:c r="E38" s="170" t="n">
        <x:v>219.3</x:v>
      </x:c>
      <x:c r="F38" s="22" t="str"/>
      <x:c r="G38" s="167"/>
    </x:row>
    <x:row r="39">
      <x:c r="A39" s="22" t="str">
        <x:v>Soaps</x:v>
      </x:c>
      <x:c r="B39" s="22" t="str">
        <x:v>No</x:v>
      </x:c>
      <x:c r="C39" s="170" t="n">
        <x:v>106.29</x:v>
      </x:c>
      <x:c r="D39" s="170" t="n">
        <x:v>158.17</x:v>
      </x:c>
      <x:c r="E39" s="170" t="n">
        <x:v>194.24</x:v>
      </x:c>
      <x:c r="F39" s="22" t="str"/>
      <x:c r="G39" s="167"/>
    </x:row>
    <x:row r="40">
      <x:c r="A40" s="22" t="str">
        <x:v>Sugar</x:v>
      </x:c>
      <x:c r="B40" s="22" t="str">
        <x:v>No</x:v>
      </x:c>
      <x:c r="C40" s="170" t="n">
        <x:v>8.49</x:v>
      </x:c>
      <x:c r="D40" s="170" t="n">
        <x:v>10.38</x:v>
      </x:c>
      <x:c r="E40" s="170" t="n">
        <x:v>28.03</x:v>
      </x:c>
      <x:c r="F40" s="22" t="str"/>
      <x:c r="G40" s="167"/>
    </x:row>
    <x:row r="41">
      <x:c r="A41" s="22" t="str">
        <x:v>Telecommunications</x:v>
      </x:c>
      <x:c r="B41" s="22" t="str">
        <x:v>No</x:v>
      </x:c>
      <x:c r="C41" s="170" t="n">
        <x:v>266.82</x:v>
      </x:c>
      <x:c r="D41" s="170" t="n">
        <x:v>538.16</x:v>
      </x:c>
      <x:c r="E41" s="170" t="n">
        <x:v>796.72</x:v>
      </x:c>
      <x:c r="F41" s="22" t="str"/>
      <x:c r="G41" s="167"/>
    </x:row>
    <x:row r="42">
      <x:c r="A42" s="22" t="str">
        <x:v>Textiles</x:v>
      </x:c>
      <x:c r="B42" s="22" t="str">
        <x:v>No</x:v>
      </x:c>
      <x:c r="C42" s="170" t="n">
        <x:v>304.68</x:v>
      </x:c>
      <x:c r="D42" s="170" t="n">
        <x:v>355.75</x:v>
      </x:c>
      <x:c r="E42" s="170" t="n">
        <x:v>408.26</x:v>
      </x:c>
      <x:c r="F42" s="22" t="str"/>
      <x:c r="G42" s="167"/>
    </x:row>
    <x:row r="43">
      <x:c r="A43" s="22" t="str">
        <x:v>Timber Products</x:v>
      </x:c>
      <x:c r="B43" s="22" t="str">
        <x:v>No</x:v>
      </x:c>
      <x:c r="C43" s="170" t="n">
        <x:v>86.2</x:v>
      </x:c>
      <x:c r="D43" s="170" t="n">
        <x:v>102.71</x:v>
      </x:c>
      <x:c r="E43" s="170" t="n">
        <x:v>108.68</x:v>
      </x:c>
      <x:c r="F43" s="22" t="str"/>
      <x:c r="G43" s="167"/>
    </x:row>
    <x:row r="44">
      <x:c r="A44" s="22" t="str">
        <x:v>Transportation</x:v>
      </x:c>
      <x:c r="B44" s="22" t="str">
        <x:v>No</x:v>
      </x:c>
      <x:c r="C44" s="170" t="n">
        <x:v>24906.24</x:v>
      </x:c>
      <x:c r="D44" s="170" t="n">
        <x:v>28698.48</x:v>
      </x:c>
      <x:c r="E44" s="170" t="n">
        <x:v>39136.95</x:v>
      </x:c>
      <x:c r="F44" s="22" t="str"/>
      <x:c r="G44" s="167"/>
    </x:row>
    <x:row r="45">
      <x:c r="A45" s="22" t="str">
        <x:v>Vegetable Oils</x:v>
      </x:c>
      <x:c r="B45" s="22" t="str">
        <x:v>No</x:v>
      </x:c>
      <x:c r="C45" s="170" t="n">
        <x:v>13.02</x:v>
      </x:c>
      <x:c r="D45" s="170" t="n">
        <x:v>15.46</x:v>
      </x:c>
      <x:c r="E45" s="170" t="n">
        <x:v>14.23</x:v>
      </x:c>
      <x:c r="F45" s="22" t="str"/>
      <x:c r="G45" s="167"/>
    </x:row>
    <x:row r="46">
      <x:c r="A46" s="167"/>
      <x:c r="B46" s="167"/>
      <x:c r="C46" s="167"/>
      <x:c r="D46" s="167"/>
      <x:c r="E46" s="167"/>
      <x:c r="F46" s="167"/>
      <x:c r="G46" s="167"/>
    </x:row>
    <x:row r="47">
      <x:c r="A47" s="168" t="str">
        <x:v>Displayed non-strategic subtotal</x:v>
      </x:c>
      <x:c r="B47" s="168"/>
      <x:c r="C47" s="168"/>
      <x:c r="D47" s="168"/>
      <x:c r="E47" s="168"/>
      <x:c r="F47" s="168"/>
      <x:c r="G47" s="167"/>
    </x:row>
    <x:row r="48">
      <x:c r="A48" s="154" t="str">
        <x:v>Measure</x:v>
      </x:c>
      <x:c r="B48" s="154" t="str">
        <x:v>FY2021-22</x:v>
      </x:c>
      <x:c r="C48" s="154" t="str">
        <x:v>FY2022-23</x:v>
      </x:c>
      <x:c r="D48" s="154" t="str">
        <x:v>FY2023-24</x:v>
      </x:c>
      <x:c r="E48" s="167"/>
      <x:c r="F48" s="167"/>
      <x:c r="G48" s="167"/>
    </x:row>
    <x:row r="49">
      <x:c r="A49" s="22" t="str">
        <x:v>Sum of displayed rows</x:v>
      </x:c>
      <x:c r="B49" s="170" t="n">
        <x:f>ROUND(SUM(C6:C45),2)</x:f>
        <x:v>76544.16</x:v>
      </x:c>
      <x:c r="C49" s="170" t="n">
        <x:f>ROUND(SUM(D6:D45),2)</x:f>
        <x:v>88016.33</x:v>
      </x:c>
      <x:c r="D49" s="170" t="n">
        <x:f>ROUND(SUM(E6:E45),2)</x:f>
        <x:v>109685.7</x:v>
      </x:c>
      <x:c r="E49" s="167"/>
      <x:c r="F49" s="167"/>
      <x:c r="G49" s="167"/>
    </x:row>
    <x:row r="50">
      <x:c r="A50" s="167"/>
      <x:c r="B50" s="167"/>
      <x:c r="C50" s="167"/>
      <x:c r="D50" s="167"/>
      <x:c r="E50" s="167"/>
      <x:c r="F50" s="167"/>
      <x:c r="G50" s="167"/>
    </x:row>
    <x:row r="51">
      <x:c r="A51" s="173" t="str">
        <x:v>Source: NSTMIS/DST, S&amp;T Indicators Tables 2025-26, Table 16. The named strategic row is omitted, so this displayed subtotal is intentionally not reconciled to the full industry-performer total. Small table-level rounding differences also exist.</x:v>
      </x:c>
      <x:c r="B51" s="174"/>
      <x:c r="C51" s="174"/>
      <x:c r="D51" s="174"/>
      <x:c r="E51" s="174"/>
      <x:c r="F51" s="175"/>
      <x:c r="G51" s="167"/>
    </x:row>
    <x:row r="52">
      <x:c r="A52" s="176"/>
      <x:c r="B52" s="177"/>
      <x:c r="C52" s="177"/>
      <x:c r="D52" s="177"/>
      <x:c r="E52" s="177"/>
      <x:c r="F52" s="178"/>
      <x:c r="G52" s="167"/>
    </x:row>
    <x:row r="53">
      <x:c r="A53" s="176"/>
      <x:c r="B53" s="177"/>
      <x:c r="C53" s="177"/>
      <x:c r="D53" s="177"/>
      <x:c r="E53" s="177"/>
      <x:c r="F53" s="178"/>
      <x:c r="G53" s="167"/>
    </x:row>
    <x:row r="54">
      <x:c r="A54" s="179"/>
      <x:c r="B54" s="180"/>
      <x:c r="C54" s="180"/>
      <x:c r="D54" s="180"/>
      <x:c r="E54" s="180"/>
      <x:c r="F54" s="181"/>
      <x:c r="G54" s="167"/>
    </x:row>
  </x:sheetData>
  <x:mergeCells>
    <x:mergeCell ref="A1:G2"/>
    <x:mergeCell ref="A3:G3"/>
    <x:mergeCell ref="A47:F47"/>
    <x:mergeCell ref="A51:F54"/>
  </x:mergeCells>
  <x:pageMargins left="0.7" right="0.7" top="0.75" bottom="0.75" header="0.3" footer="0.3"/>
  <x:tableParts count="1">
    <x:tablePart xmlns:r="http://schemas.openxmlformats.org/officeDocument/2006/relationships" r:id="R0c71a2219ead4b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5" max="15" width="42" hidden="0" customWidth="1"/>
    <x:col min="16" max="16" width="18" hidden="0" customWidth="1"/>
  </x:cols>
  <x:sheetData>
    <x:row r="1" ht="26" customHeight="1">
      <x:c r="A1" s="150" t="str">
        <x:v>Combined public + private industry R&amp;D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  <x:c r="Q1" s="150"/>
      <x:c r="R1" s="150"/>
      <x:c r="S1" s="150"/>
      <x:c r="T1" s="150"/>
      <x:c r="U1" s="150"/>
      <x:c r="V1" s="150"/>
      <x:c r="W1" s="150"/>
    </x:row>
    <x:row r="2" ht="26" customHeight="1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  <x:c r="S2" s="150"/>
      <x:c r="T2" s="150"/>
      <x:c r="U2" s="150"/>
      <x:c r="V2" s="150"/>
      <x:c r="W2" s="150"/>
    </x:row>
    <x:row r="3" ht="34" customHeight="1">
      <x:c r="A3" s="151" t="str">
        <x:v>Formula-linked to the two raw industry sheets. Strategic categories remain in reconciliation totals but are excluded from detailed rankings.</x:v>
      </x:c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</x:row>
    <x:row r="4">
      <x:c r="A4" s="167"/>
      <x:c r="B4" s="167"/>
      <x:c r="C4" s="167"/>
      <x:c r="D4" s="167"/>
      <x:c r="E4" s="167"/>
      <x:c r="F4" s="167"/>
      <x:c r="G4" s="167"/>
      <x:c r="H4" s="167"/>
      <x:c r="I4" s="167"/>
      <x:c r="J4" s="167"/>
      <x:c r="K4" s="167"/>
      <x:c r="L4" s="167"/>
      <x:c r="M4" s="167"/>
      <x:c r="N4" s="167"/>
      <x:c r="O4" s="167"/>
      <x:c r="P4" s="167"/>
      <x:c r="Q4" s="167"/>
      <x:c r="R4" s="167"/>
      <x:c r="S4" s="167"/>
      <x:c r="T4" s="167"/>
      <x:c r="U4" s="167"/>
      <x:c r="V4" s="167"/>
      <x:c r="W4" s="167"/>
    </x:row>
    <x:row r="5">
      <x:c r="A5" s="154" t="str">
        <x:v>Industry group</x:v>
      </x:c>
      <x:c r="B5" s="154" t="str">
        <x:v>Strategic flag</x:v>
      </x:c>
      <x:c r="C5" s="154" t="str">
        <x:v>Public 2021-22</x:v>
      </x:c>
      <x:c r="D5" s="154" t="str">
        <x:v>Private 2021-22</x:v>
      </x:c>
      <x:c r="E5" s="154" t="str">
        <x:v>Combined 2021-22</x:v>
      </x:c>
      <x:c r="F5" s="154" t="str">
        <x:v>Public 2022-23</x:v>
      </x:c>
      <x:c r="G5" s="154" t="str">
        <x:v>Private 2022-23</x:v>
      </x:c>
      <x:c r="H5" s="154" t="str">
        <x:v>Combined 2022-23</x:v>
      </x:c>
      <x:c r="I5" s="154" t="str">
        <x:v>Public 2023-24</x:v>
      </x:c>
      <x:c r="J5" s="154" t="str">
        <x:v>Private 2023-24</x:v>
      </x:c>
      <x:c r="K5" s="154" t="str">
        <x:v>Combined 2023-24</x:v>
      </x:c>
      <x:c r="L5" s="154" t="str">
        <x:v>Share of industry total</x:v>
      </x:c>
      <x:c r="M5" s="154" t="str">
        <x:v>2-year CAGR</x:v>
      </x:c>
      <x:c r="N5" s="167"/>
      <x:c r="O5" s="154" t="str">
        <x:v>Top non-strategic industry</x:v>
      </x:c>
      <x:c r="P5" s="154" t="str">
        <x:v>FY2023-24 (₹ cr)</x:v>
      </x:c>
      <x:c r="Q5" s="167"/>
      <x:c r="R5" s="167"/>
      <x:c r="S5" s="167"/>
      <x:c r="T5" s="167"/>
      <x:c r="U5" s="167"/>
      <x:c r="V5" s="167"/>
      <x:c r="W5" s="167"/>
    </x:row>
    <x:row r="6">
      <x:c r="A6" s="22" t="str">
        <x:v>Transportation</x:v>
      </x:c>
      <x:c r="B6" s="22" t="str">
        <x:v>No</x:v>
      </x:c>
      <x:c r="C6" s="170" t="n">
        <x:f>'Industry Public'!$C$27</x:f>
        <x:v>99.98</x:v>
      </x:c>
      <x:c r="D6" s="170" t="n">
        <x:f>'Industry Private'!$C$44</x:f>
        <x:v>24906.24</x:v>
      </x:c>
      <x:c r="E6" s="170" t="n">
        <x:f>ROUND(C6+D6,2)</x:f>
        <x:v>25006.22</x:v>
      </x:c>
      <x:c r="F6" s="170" t="n">
        <x:f>'Industry Public'!$D$27</x:f>
        <x:v>247.91</x:v>
      </x:c>
      <x:c r="G6" s="170" t="n">
        <x:f>'Industry Private'!$D$44</x:f>
        <x:v>28698.48</x:v>
      </x:c>
      <x:c r="H6" s="170" t="n">
        <x:f>ROUND(F6+G6,2)</x:f>
        <x:v>28946.39</x:v>
      </x:c>
      <x:c r="I6" s="170" t="n">
        <x:f>'Industry Public'!$E$27</x:f>
        <x:v>149.5</x:v>
      </x:c>
      <x:c r="J6" s="170" t="n">
        <x:f>'Industry Private'!$E$44</x:f>
        <x:v>39136.95</x:v>
      </x:c>
      <x:c r="K6" s="170" t="n">
        <x:f>ROUND(I6+J6,2)</x:f>
        <x:v>39286.45</x:v>
      </x:c>
      <x:c r="L6" s="182" t="n">
        <x:f>K6/'Performance Sector'!$M$10</x:f>
        <x:v>0.32573349723462175</x:v>
      </x:c>
      <x:c r="M6" s="182" t="n">
        <x:f>(K6/E6)^(1/2)-1</x:f>
        <x:v>0.25342216292074426</x:v>
      </x:c>
      <x:c r="N6" s="167"/>
      <x:c r="O6" s="22" t="str">
        <x:v>Transportation</x:v>
      </x:c>
      <x:c r="P6" s="170" t="n">
        <x:f>K6</x:f>
        <x:v>39286.45</x:v>
      </x:c>
      <x:c r="Q6" s="167"/>
      <x:c r="R6" s="167"/>
      <x:c r="S6" s="167"/>
      <x:c r="T6" s="167"/>
      <x:c r="U6" s="167"/>
      <x:c r="V6" s="167"/>
      <x:c r="W6" s="167"/>
    </x:row>
    <x:row r="7">
      <x:c r="A7" s="22" t="str">
        <x:v>Drugs &amp; Pharmaceuticals</x:v>
      </x:c>
      <x:c r="B7" s="22" t="str">
        <x:v>No</x:v>
      </x:c>
      <x:c r="C7" s="170" t="n">
        <x:f>'Industry Public'!$C$12</x:f>
        <x:v>3.63</x:v>
      </x:c>
      <x:c r="D7" s="170" t="n">
        <x:f>'Industry Private'!$C$14</x:f>
        <x:v>22117.44</x:v>
      </x:c>
      <x:c r="E7" s="170" t="n">
        <x:f>ROUND(C7+D7,2)</x:f>
        <x:v>22121.07</x:v>
      </x:c>
      <x:c r="F7" s="170" t="n">
        <x:f>'Industry Public'!$D$12</x:f>
        <x:v>4.36</x:v>
      </x:c>
      <x:c r="G7" s="170" t="n">
        <x:f>'Industry Private'!$D$14</x:f>
        <x:v>22421.6</x:v>
      </x:c>
      <x:c r="H7" s="170" t="n">
        <x:f>ROUND(F7+G7,2)</x:f>
        <x:v>22425.96</x:v>
      </x:c>
      <x:c r="I7" s="170" t="n">
        <x:f>'Industry Public'!$E$12</x:f>
        <x:v>3.3</x:v>
      </x:c>
      <x:c r="J7" s="170" t="n">
        <x:f>'Industry Private'!$E$14</x:f>
        <x:v>25846.63</x:v>
      </x:c>
      <x:c r="K7" s="170" t="n">
        <x:f>ROUND(I7+J7,2)</x:f>
        <x:v>25849.93</x:v>
      </x:c>
      <x:c r="L7" s="182" t="n">
        <x:f>K7/'Performance Sector'!$M$10</x:f>
        <x:v>0.214328047002724</x:v>
      </x:c>
      <x:c r="M7" s="182" t="n">
        <x:f>(K7/E7)^(1/2)-1</x:f>
        <x:v>0.08100230669889319</x:v>
      </x:c>
      <x:c r="N7" s="167"/>
      <x:c r="O7" s="22" t="str">
        <x:v>Drugs &amp; Pharmaceuticals</x:v>
      </x:c>
      <x:c r="P7" s="170" t="n">
        <x:f>K7</x:f>
        <x:v>25849.93</x:v>
      </x:c>
      <x:c r="Q7" s="167"/>
      <x:c r="R7" s="167"/>
      <x:c r="S7" s="167"/>
      <x:c r="T7" s="167"/>
      <x:c r="U7" s="167"/>
      <x:c r="V7" s="167"/>
      <x:c r="W7" s="167"/>
    </x:row>
    <x:row r="8">
      <x:c r="A8" s="22" t="str">
        <x:v>Biotechnology</x:v>
      </x:c>
      <x:c r="B8" s="22" t="str">
        <x:v>No</x:v>
      </x:c>
      <x:c r="C8" s="170" t="n">
        <x:f>'Industry Public'!$C$7</x:f>
        <x:v>1.24</x:v>
      </x:c>
      <x:c r="D8" s="170" t="n">
        <x:f>'Industry Private'!$C$7</x:f>
        <x:v>6274.6</x:v>
      </x:c>
      <x:c r="E8" s="170" t="n">
        <x:f>ROUND(C8+D8,2)</x:f>
        <x:v>6275.84</x:v>
      </x:c>
      <x:c r="F8" s="170" t="n">
        <x:f>'Industry Public'!$D$7</x:f>
        <x:v>1.26</x:v>
      </x:c>
      <x:c r="G8" s="170" t="n">
        <x:f>'Industry Private'!$D$7</x:f>
        <x:v>9752.36</x:v>
      </x:c>
      <x:c r="H8" s="170" t="n">
        <x:f>ROUND(F8+G8,2)</x:f>
        <x:v>9753.62</x:v>
      </x:c>
      <x:c r="I8" s="170" t="n">
        <x:f>'Industry Public'!$E$7</x:f>
        <x:v>1.83</x:v>
      </x:c>
      <x:c r="J8" s="170" t="n">
        <x:f>'Industry Private'!$E$7</x:f>
        <x:v>10321</x:v>
      </x:c>
      <x:c r="K8" s="170" t="n">
        <x:f>ROUND(I8+J8,2)</x:f>
        <x:v>10322.83</x:v>
      </x:c>
      <x:c r="L8" s="182" t="n">
        <x:f>K8/'Performance Sector'!$M$10</x:f>
        <x:v>0.08558909031634243</x:v>
      </x:c>
      <x:c r="M8" s="182" t="n">
        <x:f>(K8/E8)^(1/2)-1</x:f>
        <x:v>0.2825179618849858</x:v>
      </x:c>
      <x:c r="N8" s="167"/>
      <x:c r="O8" s="22" t="str">
        <x:v>Biotechnology</x:v>
      </x:c>
      <x:c r="P8" s="170" t="n">
        <x:f>K8</x:f>
        <x:v>10322.83</x:v>
      </x:c>
      <x:c r="Q8" s="167"/>
      <x:c r="R8" s="167"/>
      <x:c r="S8" s="167"/>
      <x:c r="T8" s="167"/>
      <x:c r="U8" s="167"/>
      <x:c r="V8" s="167"/>
      <x:c r="W8" s="167"/>
    </x:row>
    <x:row r="9">
      <x:c r="A9" s="22" t="str">
        <x:v>Information Technology</x:v>
      </x:c>
      <x:c r="B9" s="22" t="str">
        <x:v>No</x:v>
      </x:c>
      <x:c r="C9" s="170" t="n">
        <x:v>0</x:v>
      </x:c>
      <x:c r="D9" s="170" t="n">
        <x:f>'Industry Private'!$C$26</x:f>
        <x:v>5593.33</x:v>
      </x:c>
      <x:c r="E9" s="170" t="n">
        <x:f>ROUND(C9+D9,2)</x:f>
        <x:v>5593.33</x:v>
      </x:c>
      <x:c r="F9" s="170" t="n">
        <x:v>0</x:v>
      </x:c>
      <x:c r="G9" s="170" t="n">
        <x:f>'Industry Private'!$D$26</x:f>
        <x:v>6367.25</x:v>
      </x:c>
      <x:c r="H9" s="170" t="n">
        <x:f>ROUND(F9+G9,2)</x:f>
        <x:v>6367.25</x:v>
      </x:c>
      <x:c r="I9" s="170" t="n">
        <x:v>0</x:v>
      </x:c>
      <x:c r="J9" s="170" t="n">
        <x:f>'Industry Private'!$E$26</x:f>
        <x:v>9587.44</x:v>
      </x:c>
      <x:c r="K9" s="170" t="n">
        <x:f>ROUND(I9+J9,2)</x:f>
        <x:v>9587.44</x:v>
      </x:c>
      <x:c r="L9" s="182" t="n">
        <x:f>K9/'Performance Sector'!$M$10</x:f>
        <x:v>0.07949179324492547</x:v>
      </x:c>
      <x:c r="M9" s="182" t="n">
        <x:f>(K9/E9)^(1/2)-1</x:f>
        <x:v>0.3092304816808875</x:v>
      </x:c>
      <x:c r="N9" s="167"/>
      <x:c r="O9" s="22" t="str">
        <x:v>Information Technology</x:v>
      </x:c>
      <x:c r="P9" s="170" t="n">
        <x:f>K9</x:f>
        <x:v>9587.44</x:v>
      </x:c>
      <x:c r="Q9" s="167"/>
      <x:c r="R9" s="167"/>
      <x:c r="S9" s="167"/>
      <x:c r="T9" s="167"/>
      <x:c r="U9" s="167"/>
      <x:c r="V9" s="167"/>
      <x:c r="W9" s="167"/>
    </x:row>
    <x:row r="10">
      <x:c r="A10" s="22" t="str">
        <x:v>Electricals &amp; Electronics</x:v>
      </x:c>
      <x:c r="B10" s="22" t="str">
        <x:v>No</x:v>
      </x:c>
      <x:c r="C10" s="170" t="n">
        <x:f>'Industry Public'!$C$13</x:f>
        <x:v>106.38</x:v>
      </x:c>
      <x:c r="D10" s="170" t="n">
        <x:f>'Industry Private'!$C$17</x:f>
        <x:v>4239.41</x:v>
      </x:c>
      <x:c r="E10" s="170" t="n">
        <x:f>ROUND(C10+D10,2)</x:f>
        <x:v>4345.79</x:v>
      </x:c>
      <x:c r="F10" s="170" t="n">
        <x:f>'Industry Public'!$D$13</x:f>
        <x:v>85.75</x:v>
      </x:c>
      <x:c r="G10" s="170" t="n">
        <x:f>'Industry Private'!$D$17</x:f>
        <x:v>5354.57</x:v>
      </x:c>
      <x:c r="H10" s="170" t="n">
        <x:f>ROUND(F10+G10,2)</x:f>
        <x:v>5440.32</x:v>
      </x:c>
      <x:c r="I10" s="170" t="n">
        <x:f>'Industry Public'!$E$13</x:f>
        <x:v>292.58</x:v>
      </x:c>
      <x:c r="J10" s="170" t="n">
        <x:f>'Industry Private'!$E$17</x:f>
        <x:v>6779.18</x:v>
      </x:c>
      <x:c r="K10" s="170" t="n">
        <x:f>ROUND(I10+J10,2)</x:f>
        <x:v>7071.76</x:v>
      </x:c>
      <x:c r="L10" s="182" t="n">
        <x:f>K10/'Performance Sector'!$M$10</x:f>
        <x:v>0.0586336794595569</x:v>
      </x:c>
      <x:c r="M10" s="182" t="n">
        <x:f>(K10/E10)^(1/2)-1</x:f>
        <x:v>0.27564369988857673</x:v>
      </x:c>
      <x:c r="N10" s="167"/>
      <x:c r="O10" s="22" t="str">
        <x:v>Electricals &amp; Electronics</x:v>
      </x:c>
      <x:c r="P10" s="170" t="n">
        <x:f>K10</x:f>
        <x:v>7071.76</x:v>
      </x:c>
      <x:c r="Q10" s="167"/>
      <x:c r="R10" s="167"/>
      <x:c r="S10" s="167"/>
      <x:c r="T10" s="167"/>
      <x:c r="U10" s="167"/>
      <x:c r="V10" s="167"/>
      <x:c r="W10" s="167"/>
    </x:row>
    <x:row r="11">
      <x:c r="A11" s="22" t="str">
        <x:v>Fuels</x:v>
      </x:c>
      <x:c r="B11" s="22" t="str">
        <x:v>No</x:v>
      </x:c>
      <x:c r="C11" s="170" t="n">
        <x:f>'Industry Public'!$C$15</x:f>
        <x:v>2067.96</x:v>
      </x:c>
      <x:c r="D11" s="170" t="n">
        <x:f>'Industry Private'!$C$21</x:f>
        <x:v>2677.06</x:v>
      </x:c>
      <x:c r="E11" s="170" t="n">
        <x:f>ROUND(C11+D11,2)</x:f>
        <x:v>4745.02</x:v>
      </x:c>
      <x:c r="F11" s="170" t="n">
        <x:f>'Industry Public'!$D$15</x:f>
        <x:v>2154.29</x:v>
      </x:c>
      <x:c r="G11" s="170" t="n">
        <x:f>'Industry Private'!$D$21</x:f>
        <x:v>3073.63</x:v>
      </x:c>
      <x:c r="H11" s="170" t="n">
        <x:f>ROUND(F11+G11,2)</x:f>
        <x:v>5227.92</x:v>
      </x:c>
      <x:c r="I11" s="170" t="n">
        <x:f>'Industry Public'!$E$15</x:f>
        <x:v>2641.08</x:v>
      </x:c>
      <x:c r="J11" s="170" t="n">
        <x:f>'Industry Private'!$E$21</x:f>
        <x:v>3727.38</x:v>
      </x:c>
      <x:c r="K11" s="170" t="n">
        <x:f>ROUND(I11+J11,2)</x:f>
        <x:v>6368.46</x:v>
      </x:c>
      <x:c r="L11" s="182" t="n">
        <x:f>K11/'Performance Sector'!$M$10</x:f>
        <x:v>0.052802448370845405</x:v>
      </x:c>
      <x:c r="M11" s="182" t="n">
        <x:f>(K11/E11)^(1/2)-1</x:f>
        <x:v>0.15850573766929155</x:v>
      </x:c>
      <x:c r="N11" s="167"/>
      <x:c r="O11" s="22" t="str">
        <x:v>Fuels</x:v>
      </x:c>
      <x:c r="P11" s="170" t="n">
        <x:f>K11</x:f>
        <x:v>6368.46</x:v>
      </x:c>
      <x:c r="Q11" s="167"/>
      <x:c r="R11" s="167"/>
      <x:c r="S11" s="167"/>
      <x:c r="T11" s="167"/>
      <x:c r="U11" s="167"/>
      <x:c r="V11" s="167"/>
      <x:c r="W11" s="167"/>
    </x:row>
    <x:row r="12">
      <x:c r="A12" s="22" t="str">
        <x:v>Chemicals other than Fertilizers</x:v>
      </x:c>
      <x:c r="B12" s="22" t="str">
        <x:v>No</x:v>
      </x:c>
      <x:c r="C12" s="170" t="n">
        <x:f>'Industry Public'!$C$10</x:f>
        <x:v>19.85</x:v>
      </x:c>
      <x:c r="D12" s="170" t="n">
        <x:f>'Industry Private'!$C$11</x:f>
        <x:v>2615.24</x:v>
      </x:c>
      <x:c r="E12" s="170" t="n">
        <x:f>ROUND(C12+D12,2)</x:f>
        <x:v>2635.09</x:v>
      </x:c>
      <x:c r="F12" s="170" t="n">
        <x:f>'Industry Public'!$D$10</x:f>
        <x:v>25.51</x:v>
      </x:c>
      <x:c r="G12" s="170" t="n">
        <x:f>'Industry Private'!$D$11</x:f>
        <x:v>3032.35</x:v>
      </x:c>
      <x:c r="H12" s="170" t="n">
        <x:f>ROUND(F12+G12,2)</x:f>
        <x:v>3057.86</x:v>
      </x:c>
      <x:c r="I12" s="170" t="n">
        <x:f>'Industry Public'!$E$10</x:f>
        <x:v>22.23</x:v>
      </x:c>
      <x:c r="J12" s="170" t="n">
        <x:f>'Industry Private'!$E$11</x:f>
        <x:v>3345.76</x:v>
      </x:c>
      <x:c r="K12" s="170" t="n">
        <x:f>ROUND(I12+J12,2)</x:f>
        <x:v>3367.99</x:v>
      </x:c>
      <x:c r="L12" s="182" t="n">
        <x:f>K12/'Performance Sector'!$M$10</x:f>
        <x:v>0.027924822969528522</x:v>
      </x:c>
      <x:c r="M12" s="182" t="n">
        <x:f>(K12/E12)^(1/2)-1</x:f>
        <x:v>0.13054452266576622</x:v>
      </x:c>
      <x:c r="N12" s="167"/>
      <x:c r="O12" s="22" t="str">
        <x:v>Chemicals other than Fertilizers</x:v>
      </x:c>
      <x:c r="P12" s="170" t="n">
        <x:f>K12</x:f>
        <x:v>3367.99</x:v>
      </x:c>
      <x:c r="Q12" s="167"/>
      <x:c r="R12" s="167"/>
      <x:c r="S12" s="167"/>
      <x:c r="T12" s="167"/>
      <x:c r="U12" s="167"/>
      <x:c r="V12" s="167"/>
      <x:c r="W12" s="167"/>
    </x:row>
    <x:row r="13">
      <x:c r="A13" s="22" t="str">
        <x:v>Industrial Equipment</x:v>
      </x:c>
      <x:c r="B13" s="22" t="str">
        <x:v>No</x:v>
      </x:c>
      <x:c r="C13" s="170" t="n">
        <x:f>'Industry Public'!$C$16</x:f>
        <x:v>700</x:v>
      </x:c>
      <x:c r="D13" s="170" t="n">
        <x:f>'Industry Private'!$C$24</x:f>
        <x:v>895.15</x:v>
      </x:c>
      <x:c r="E13" s="170" t="n">
        <x:f>ROUND(C13+D13,2)</x:f>
        <x:v>1595.15</x:v>
      </x:c>
      <x:c r="F13" s="170" t="n">
        <x:f>'Industry Public'!$D$16</x:f>
        <x:v>690.85</x:v>
      </x:c>
      <x:c r="G13" s="170" t="n">
        <x:f>'Industry Private'!$D$24</x:f>
        <x:v>1032.37</x:v>
      </x:c>
      <x:c r="H13" s="170" t="n">
        <x:f>ROUND(F13+G13,2)</x:f>
        <x:v>1723.22</x:v>
      </x:c>
      <x:c r="I13" s="170" t="n">
        <x:f>'Industry Public'!$E$16</x:f>
        <x:v>697.6</x:v>
      </x:c>
      <x:c r="J13" s="170" t="n">
        <x:f>'Industry Private'!$E$24</x:f>
        <x:v>1182.75</x:v>
      </x:c>
      <x:c r="K13" s="170" t="n">
        <x:f>ROUND(I13+J13,2)</x:f>
        <x:v>1880.35</x:v>
      </x:c>
      <x:c r="L13" s="182" t="n">
        <x:f>K13/'Performance Sector'!$M$10</x:f>
        <x:v>0.015590438472428053</x:v>
      </x:c>
      <x:c r="M13" s="182" t="n">
        <x:f>(K13/E13)^(1/2)-1</x:f>
        <x:v>0.0857218626970091</x:v>
      </x:c>
      <x:c r="N13" s="167"/>
      <x:c r="O13" s="22" t="str">
        <x:v>Industrial Equipment</x:v>
      </x:c>
      <x:c r="P13" s="170" t="n">
        <x:f>K13</x:f>
        <x:v>1880.35</x:v>
      </x:c>
      <x:c r="Q13" s="167"/>
      <x:c r="R13" s="167"/>
      <x:c r="S13" s="167"/>
      <x:c r="T13" s="167"/>
      <x:c r="U13" s="167"/>
      <x:c r="V13" s="167"/>
      <x:c r="W13" s="167"/>
    </x:row>
    <x:row r="14">
      <x:c r="A14" s="22" t="str">
        <x:v>Agricultural Machinery</x:v>
      </x:c>
      <x:c r="B14" s="22" t="str">
        <x:v>No</x:v>
      </x:c>
      <x:c r="C14" s="170" t="n">
        <x:f>'Industry Public'!$C$6</x:f>
        <x:v>0.53</x:v>
      </x:c>
      <x:c r="D14" s="170" t="n">
        <x:f>'Industry Private'!$C$6</x:f>
        <x:v>1460.91</x:v>
      </x:c>
      <x:c r="E14" s="170" t="n">
        <x:f>ROUND(C14+D14,2)</x:f>
        <x:v>1461.44</x:v>
      </x:c>
      <x:c r="F14" s="170" t="n">
        <x:f>'Industry Public'!$D$6</x:f>
        <x:v>0.4</x:v>
      </x:c>
      <x:c r="G14" s="170" t="n">
        <x:f>'Industry Private'!$D$6</x:f>
        <x:v>1617.61</x:v>
      </x:c>
      <x:c r="H14" s="170" t="n">
        <x:f>ROUND(F14+G14,2)</x:f>
        <x:v>1618.01</x:v>
      </x:c>
      <x:c r="I14" s="170" t="n">
        <x:f>'Industry Public'!$E$6</x:f>
        <x:v>0.55</x:v>
      </x:c>
      <x:c r="J14" s="170" t="n">
        <x:f>'Industry Private'!$E$6</x:f>
        <x:v>1846.28</x:v>
      </x:c>
      <x:c r="K14" s="170" t="n">
        <x:f>ROUND(I14+J14,2)</x:f>
        <x:v>1846.83</x:v>
      </x:c>
      <x:c r="L14" s="182" t="n">
        <x:f>K14/'Performance Sector'!$M$10</x:f>
        <x:v>0.015312516012462734</x:v>
      </x:c>
      <x:c r="M14" s="182" t="n">
        <x:f>(K14/E14)^(1/2)-1</x:f>
        <x:v>0.12414663641839474</x:v>
      </x:c>
      <x:c r="N14" s="167"/>
      <x:c r="O14" s="22" t="str">
        <x:v>Agricultural Machinery</x:v>
      </x:c>
      <x:c r="P14" s="170" t="n">
        <x:f>K14</x:f>
        <x:v>1846.83</x:v>
      </x:c>
      <x:c r="Q14" s="167"/>
      <x:c r="R14" s="167"/>
      <x:c r="S14" s="167"/>
      <x:c r="T14" s="167"/>
      <x:c r="U14" s="167"/>
      <x:c r="V14" s="167"/>
      <x:c r="W14" s="167"/>
    </x:row>
    <x:row r="15">
      <x:c r="A15" s="22" t="str">
        <x:v>Metallurgical Industries</x:v>
      </x:c>
      <x:c r="B15" s="22" t="str">
        <x:v>No</x:v>
      </x:c>
      <x:c r="C15" s="170" t="n">
        <x:f>'Industry Public'!$C$19</x:f>
        <x:v>1296.88</x:v>
      </x:c>
      <x:c r="D15" s="170" t="n">
        <x:f>'Industry Private'!$C$31</x:f>
        <x:v>537.58</x:v>
      </x:c>
      <x:c r="E15" s="170" t="n">
        <x:f>ROUND(C15+D15,2)</x:f>
        <x:v>1834.46</x:v>
      </x:c>
      <x:c r="F15" s="170" t="n">
        <x:f>'Industry Public'!$D$19</x:f>
        <x:v>866.93</x:v>
      </x:c>
      <x:c r="G15" s="170" t="n">
        <x:f>'Industry Private'!$D$31</x:f>
        <x:v>647.07</x:v>
      </x:c>
      <x:c r="H15" s="170" t="n">
        <x:f>ROUND(F15+G15,2)</x:f>
        <x:v>1514</x:v>
      </x:c>
      <x:c r="I15" s="170" t="n">
        <x:f>'Industry Public'!$E$19</x:f>
        <x:v>558.38</x:v>
      </x:c>
      <x:c r="J15" s="170" t="n">
        <x:f>'Industry Private'!$E$31</x:f>
        <x:v>705.64</x:v>
      </x:c>
      <x:c r="K15" s="170" t="n">
        <x:f>ROUND(I15+J15,2)</x:f>
        <x:v>1264.02</x:v>
      </x:c>
      <x:c r="L15" s="182" t="n">
        <x:f>K15/'Performance Sector'!$M$10</x:f>
        <x:v>0.010480296773429685</x:v>
      </x:c>
      <x:c r="M15" s="182" t="n">
        <x:f>(K15/E15)^(1/2)-1</x:f>
        <x:v>-0.169914458075485</x:v>
      </x:c>
      <x:c r="N15" s="167"/>
      <x:c r="O15" s="22" t="str">
        <x:v>Metallurgical Industries</x:v>
      </x:c>
      <x:c r="P15" s="170" t="n">
        <x:f>K15</x:f>
        <x:v>1264.02</x:v>
      </x:c>
      <x:c r="Q15" s="167"/>
      <x:c r="R15" s="167"/>
      <x:c r="S15" s="167"/>
      <x:c r="T15" s="167"/>
      <x:c r="U15" s="167"/>
      <x:c r="V15" s="167"/>
      <x:c r="W15" s="167"/>
    </x:row>
    <x:row r="16">
      <x:c r="A16" s="22" t="str">
        <x:v>Rubber</x:v>
      </x:c>
      <x:c r="B16" s="22" t="str">
        <x:v>No</x:v>
      </x:c>
      <x:c r="C16" s="170" t="n">
        <x:v>0</x:v>
      </x:c>
      <x:c r="D16" s="170" t="n">
        <x:f>'Industry Private'!$C$37</x:f>
        <x:v>771.66</x:v>
      </x:c>
      <x:c r="E16" s="170" t="n">
        <x:f>ROUND(C16+D16,2)</x:f>
        <x:v>771.66</x:v>
      </x:c>
      <x:c r="F16" s="170" t="n">
        <x:v>0</x:v>
      </x:c>
      <x:c r="G16" s="170" t="n">
        <x:f>'Industry Private'!$D$37</x:f>
        <x:v>986.15</x:v>
      </x:c>
      <x:c r="H16" s="170" t="n">
        <x:f>ROUND(F16+G16,2)</x:f>
        <x:v>986.15</x:v>
      </x:c>
      <x:c r="I16" s="170" t="n">
        <x:v>0</x:v>
      </x:c>
      <x:c r="J16" s="170" t="n">
        <x:f>'Industry Private'!$E$37</x:f>
        <x:v>1148.43</x:v>
      </x:c>
      <x:c r="K16" s="170" t="n">
        <x:f>ROUND(I16+J16,2)</x:f>
        <x:v>1148.43</x:v>
      </x:c>
      <x:c r="L16" s="182" t="n">
        <x:f>K16/'Performance Sector'!$M$10</x:f>
        <x:v>0.009521912013662643</x:v>
      </x:c>
      <x:c r="M16" s="182" t="n">
        <x:f>(K16/E16)^(1/2)-1</x:f>
        <x:v>0.2199422436460694</x:v>
      </x:c>
      <x:c r="N16" s="167"/>
      <x:c r="O16" s="167"/>
      <x:c r="P16" s="167"/>
      <x:c r="Q16" s="167"/>
      <x:c r="R16" s="167"/>
      <x:c r="S16" s="167"/>
      <x:c r="T16" s="167"/>
      <x:c r="U16" s="167"/>
      <x:c r="V16" s="167"/>
      <x:c r="W16" s="167"/>
    </x:row>
    <x:row r="17">
      <x:c r="A17" s="22" t="str">
        <x:v>Food Processing Industries</x:v>
      </x:c>
      <x:c r="B17" s="22" t="str">
        <x:v>No</x:v>
      </x:c>
      <x:c r="C17" s="170" t="n">
        <x:v>0</x:v>
      </x:c>
      <x:c r="D17" s="170" t="n">
        <x:f>'Industry Private'!$C$20</x:f>
        <x:v>729.1</x:v>
      </x:c>
      <x:c r="E17" s="170" t="n">
        <x:f>ROUND(C17+D17,2)</x:f>
        <x:v>729.1</x:v>
      </x:c>
      <x:c r="F17" s="170" t="n">
        <x:v>0</x:v>
      </x:c>
      <x:c r="G17" s="170" t="n">
        <x:f>'Industry Private'!$D$20</x:f>
        <x:v>809.63</x:v>
      </x:c>
      <x:c r="H17" s="170" t="n">
        <x:f>ROUND(F17+G17,2)</x:f>
        <x:v>809.63</x:v>
      </x:c>
      <x:c r="I17" s="170" t="n">
        <x:v>0</x:v>
      </x:c>
      <x:c r="J17" s="170" t="n">
        <x:f>'Industry Private'!$E$20</x:f>
        <x:v>893.43</x:v>
      </x:c>
      <x:c r="K17" s="170" t="n">
        <x:f>ROUND(I17+J17,2)</x:f>
        <x:v>893.43</x:v>
      </x:c>
      <x:c r="L17" s="182" t="n">
        <x:f>K17/'Performance Sector'!$M$10</x:f>
        <x:v>0.007407645089702127</x:v>
      </x:c>
      <x:c r="M17" s="182" t="n">
        <x:f>(K17/E17)^(1/2)-1</x:f>
        <x:v>0.10697220561164422</x:v>
      </x:c>
      <x:c r="N17" s="167"/>
      <x:c r="O17" s="167"/>
      <x:c r="P17" s="167"/>
      <x:c r="Q17" s="167"/>
      <x:c r="R17" s="167"/>
      <x:c r="S17" s="167"/>
      <x:c r="T17" s="167"/>
      <x:c r="U17" s="167"/>
      <x:c r="V17" s="167"/>
      <x:c r="W17" s="167"/>
    </x:row>
    <x:row r="18">
      <x:c r="A18" s="22" t="str">
        <x:v>Telecommunications</x:v>
      </x:c>
      <x:c r="B18" s="22" t="str">
        <x:v>No</x:v>
      </x:c>
      <x:c r="C18" s="170" t="n">
        <x:f>'Industry Public'!$C$25</x:f>
        <x:v>20.83</x:v>
      </x:c>
      <x:c r="D18" s="170" t="n">
        <x:f>'Industry Private'!$C$41</x:f>
        <x:v>266.82</x:v>
      </x:c>
      <x:c r="E18" s="170" t="n">
        <x:f>ROUND(C18+D18,2)</x:f>
        <x:v>287.65</x:v>
      </x:c>
      <x:c r="F18" s="170" t="n">
        <x:f>'Industry Public'!$D$25</x:f>
        <x:v>18.82</x:v>
      </x:c>
      <x:c r="G18" s="170" t="n">
        <x:f>'Industry Private'!$D$41</x:f>
        <x:v>538.16</x:v>
      </x:c>
      <x:c r="H18" s="170" t="n">
        <x:f>ROUND(F18+G18,2)</x:f>
        <x:v>556.98</x:v>
      </x:c>
      <x:c r="I18" s="170" t="n">
        <x:f>'Industry Public'!$E$25</x:f>
        <x:v>21.8</x:v>
      </x:c>
      <x:c r="J18" s="170" t="n">
        <x:f>'Industry Private'!$E$41</x:f>
        <x:v>796.72</x:v>
      </x:c>
      <x:c r="K18" s="170" t="n">
        <x:f>ROUND(I18+J18,2)</x:f>
        <x:v>818.52</x:v>
      </x:c>
      <x:c r="L18" s="182" t="n">
        <x:f>K18/'Performance Sector'!$M$10</x:f>
        <x:v>0.00678654808862808</x:v>
      </x:c>
      <x:c r="M18" s="182" t="n">
        <x:f>(K18/E18)^(1/2)-1</x:f>
        <x:v>0.686873278178098</x:v>
      </x:c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</x:row>
    <x:row r="19">
      <x:c r="A19" s="22" t="str">
        <x:v>Industrial Machinery</x:v>
      </x:c>
      <x:c r="B19" s="22" t="str">
        <x:v>No</x:v>
      </x:c>
      <x:c r="C19" s="170" t="n">
        <x:f>'Industry Public'!$C$17</x:f>
        <x:v>2</x:v>
      </x:c>
      <x:c r="D19" s="170" t="n">
        <x:f>'Industry Private'!$C$25</x:f>
        <x:v>529.99</x:v>
      </x:c>
      <x:c r="E19" s="170" t="n">
        <x:f>ROUND(C19+D19,2)</x:f>
        <x:v>531.99</x:v>
      </x:c>
      <x:c r="F19" s="170" t="n">
        <x:f>'Industry Public'!$D$17</x:f>
        <x:v>2.27</x:v>
      </x:c>
      <x:c r="G19" s="170" t="n">
        <x:f>'Industry Private'!$D$25</x:f>
        <x:v>597.55</x:v>
      </x:c>
      <x:c r="H19" s="170" t="n">
        <x:f>ROUND(F19+G19,2)</x:f>
        <x:v>599.82</x:v>
      </x:c>
      <x:c r="I19" s="170" t="n">
        <x:f>'Industry Public'!$E$17</x:f>
        <x:v>0.8</x:v>
      </x:c>
      <x:c r="J19" s="170" t="n">
        <x:f>'Industry Private'!$E$25</x:f>
        <x:v>697.05</x:v>
      </x:c>
      <x:c r="K19" s="170" t="n">
        <x:f>ROUND(I19+J19,2)</x:f>
        <x:v>697.85</x:v>
      </x:c>
      <x:c r="L19" s="182" t="n">
        <x:f>K19/'Performance Sector'!$M$10</x:f>
        <x:v>0.005786043815238609</x:v>
      </x:c>
      <x:c r="M19" s="182" t="n">
        <x:f>(K19/E19)^(1/2)-1</x:f>
        <x:v>0.14532649392380304</x:v>
      </x:c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</x:row>
    <x:row r="20">
      <x:c r="A20" s="22" t="str">
        <x:v>Boilers &amp; Steam Generating Plants</x:v>
      </x:c>
      <x:c r="B20" s="22" t="str">
        <x:v>No</x:v>
      </x:c>
      <x:c r="C20" s="170" t="n">
        <x:f>'Industry Public'!$C$8</x:f>
        <x:v>222.48</x:v>
      </x:c>
      <x:c r="D20" s="170" t="n">
        <x:f>'Industry Private'!$C$8</x:f>
        <x:v>11</x:v>
      </x:c>
      <x:c r="E20" s="170" t="n">
        <x:f>ROUND(C20+D20,2)</x:f>
        <x:v>233.48</x:v>
      </x:c>
      <x:c r="F20" s="170" t="n">
        <x:f>'Industry Public'!$D$8</x:f>
        <x:v>283.45</x:v>
      </x:c>
      <x:c r="G20" s="170" t="n">
        <x:f>'Industry Private'!$D$8</x:f>
        <x:v>13.95</x:v>
      </x:c>
      <x:c r="H20" s="170" t="n">
        <x:f>ROUND(F20+G20,2)</x:f>
        <x:v>297.4</x:v>
      </x:c>
      <x:c r="I20" s="170" t="n">
        <x:f>'Industry Public'!$E$8</x:f>
        <x:v>483.63</x:v>
      </x:c>
      <x:c r="J20" s="170" t="n">
        <x:f>'Industry Private'!$E$8</x:f>
        <x:v>13.4</x:v>
      </x:c>
      <x:c r="K20" s="170" t="n">
        <x:f>ROUND(I20+J20,2)</x:f>
        <x:v>497.03</x:v>
      </x:c>
      <x:c r="L20" s="182" t="n">
        <x:f>K20/'Performance Sector'!$M$10</x:f>
        <x:v>0.00412099642829841</x:v>
      </x:c>
      <x:c r="M20" s="182" t="n">
        <x:f>(K20/E20)^(1/2)-1</x:f>
        <x:v>0.4590375165014944</x:v>
      </x:c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</x:row>
    <x:row r="21">
      <x:c r="A21" s="22" t="str">
        <x:v>Machine Tools</x:v>
      </x:c>
      <x:c r="B21" s="22" t="str">
        <x:v>No</x:v>
      </x:c>
      <x:c r="C21" s="170" t="n">
        <x:v>0</x:v>
      </x:c>
      <x:c r="D21" s="170" t="n">
        <x:f>'Industry Private'!$C$28</x:f>
        <x:v>188</x:v>
      </x:c>
      <x:c r="E21" s="170" t="n">
        <x:f>ROUND(C21+D21,2)</x:f>
        <x:v>188</x:v>
      </x:c>
      <x:c r="F21" s="170" t="n">
        <x:v>0</x:v>
      </x:c>
      <x:c r="G21" s="170" t="n">
        <x:f>'Industry Private'!$D$28</x:f>
        <x:v>348.27</x:v>
      </x:c>
      <x:c r="H21" s="170" t="n">
        <x:f>ROUND(F21+G21,2)</x:f>
        <x:v>348.27</x:v>
      </x:c>
      <x:c r="I21" s="170" t="n">
        <x:v>0</x:v>
      </x:c>
      <x:c r="J21" s="170" t="n">
        <x:f>'Industry Private'!$E$28</x:f>
        <x:v>461.07</x:v>
      </x:c>
      <x:c r="K21" s="170" t="n">
        <x:f>ROUND(I21+J21,2)</x:f>
        <x:v>461.07</x:v>
      </x:c>
      <x:c r="L21" s="182" t="n">
        <x:f>K21/'Performance Sector'!$M$10</x:f>
        <x:v>0.0038228433358057823</x:v>
      </x:c>
      <x:c r="M21" s="182" t="n">
        <x:f>(K21/E21)^(1/2)-1</x:f>
        <x:v>0.5660459763365826</x:v>
      </x:c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</x:row>
    <x:row r="22">
      <x:c r="A22" s="22" t="str">
        <x:v>Textiles</x:v>
      </x:c>
      <x:c r="B22" s="22" t="str">
        <x:v>No</x:v>
      </x:c>
      <x:c r="C22" s="170" t="n">
        <x:f>'Industry Public'!$C$26</x:f>
        <x:v>0.18</x:v>
      </x:c>
      <x:c r="D22" s="170" t="n">
        <x:f>'Industry Private'!$C$42</x:f>
        <x:v>304.68</x:v>
      </x:c>
      <x:c r="E22" s="170" t="n">
        <x:f>ROUND(C22+D22,2)</x:f>
        <x:v>304.86</x:v>
      </x:c>
      <x:c r="F22" s="170" t="n">
        <x:f>'Industry Public'!$D$26</x:f>
        <x:v>0.18</x:v>
      </x:c>
      <x:c r="G22" s="170" t="n">
        <x:f>'Industry Private'!$D$42</x:f>
        <x:v>355.75</x:v>
      </x:c>
      <x:c r="H22" s="170" t="n">
        <x:f>ROUND(F22+G22,2)</x:f>
        <x:v>355.93</x:v>
      </x:c>
      <x:c r="I22" s="170" t="n">
        <x:f>'Industry Public'!$E$26</x:f>
        <x:v>0.18</x:v>
      </x:c>
      <x:c r="J22" s="170" t="n">
        <x:f>'Industry Private'!$E$42</x:f>
        <x:v>408.26</x:v>
      </x:c>
      <x:c r="K22" s="170" t="n">
        <x:f>ROUND(I22+J22,2)</x:f>
        <x:v>408.44</x:v>
      </x:c>
      <x:c r="L22" s="182" t="n">
        <x:f>K22/'Performance Sector'!$M$10</x:f>
        <x:v>0.00338647522518601</x:v>
      </x:c>
      <x:c r="M22" s="182" t="n">
        <x:f>(K22/E22)^(1/2)-1</x:f>
        <x:v>0.15748110737965182</x:v>
      </x:c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</x:row>
    <x:row r="23">
      <x:c r="A23" s="22" t="str">
        <x:v>Commercial, Office &amp; Household Equipment</x:v>
      </x:c>
      <x:c r="B23" s="22" t="str">
        <x:v>No</x:v>
      </x:c>
      <x:c r="C23" s="170" t="n">
        <x:v>0</x:v>
      </x:c>
      <x:c r="D23" s="170" t="n">
        <x:f>'Industry Private'!$C$12</x:f>
        <x:v>253.22</x:v>
      </x:c>
      <x:c r="E23" s="170" t="n">
        <x:f>ROUND(C23+D23,2)</x:f>
        <x:v>253.22</x:v>
      </x:c>
      <x:c r="F23" s="170" t="n">
        <x:v>0</x:v>
      </x:c>
      <x:c r="G23" s="170" t="n">
        <x:f>'Industry Private'!$D$12</x:f>
        <x:v>273.4</x:v>
      </x:c>
      <x:c r="H23" s="170" t="n">
        <x:f>ROUND(F23+G23,2)</x:f>
        <x:v>273.4</x:v>
      </x:c>
      <x:c r="I23" s="170" t="n">
        <x:v>0</x:v>
      </x:c>
      <x:c r="J23" s="170" t="n">
        <x:f>'Industry Private'!$E$12</x:f>
        <x:v>389.63</x:v>
      </x:c>
      <x:c r="K23" s="170" t="n">
        <x:f>ROUND(I23+J23,2)</x:f>
        <x:v>389.63</x:v>
      </x:c>
      <x:c r="L23" s="182" t="n">
        <x:f>K23/'Performance Sector'!$M$10</x:f>
        <x:v>0.0032305169473832757</x:v>
      </x:c>
      <x:c r="M23" s="182" t="n">
        <x:f>(K23/E23)^(1/2)-1</x:f>
        <x:v>0.24044408353063762</x:v>
      </x:c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</x:row>
    <x:row r="24">
      <x:c r="A24" s="22" t="str">
        <x:v>Miscellaneous Mechanical Engineering</x:v>
      </x:c>
      <x:c r="B24" s="22" t="str">
        <x:v>No</x:v>
      </x:c>
      <x:c r="C24" s="170" t="n">
        <x:f>'Industry Public'!$C$20</x:f>
        <x:v>36.9</x:v>
      </x:c>
      <x:c r="D24" s="170" t="n">
        <x:f>'Industry Private'!$C$32</x:f>
        <x:v>213.85</x:v>
      </x:c>
      <x:c r="E24" s="170" t="n">
        <x:f>ROUND(C24+D24,2)</x:f>
        <x:v>250.75</x:v>
      </x:c>
      <x:c r="F24" s="170" t="n">
        <x:f>'Industry Public'!$D$20</x:f>
        <x:v>34.06</x:v>
      </x:c>
      <x:c r="G24" s="170" t="n">
        <x:f>'Industry Private'!$D$32</x:f>
        <x:v>292.95</x:v>
      </x:c>
      <x:c r="H24" s="170" t="n">
        <x:f>ROUND(F24+G24,2)</x:f>
        <x:v>327.01</x:v>
      </x:c>
      <x:c r="I24" s="170" t="n">
        <x:f>'Industry Public'!$E$20</x:f>
        <x:v>52.65</x:v>
      </x:c>
      <x:c r="J24" s="170" t="n">
        <x:f>'Industry Private'!$E$32</x:f>
        <x:v>313.48</x:v>
      </x:c>
      <x:c r="K24" s="170" t="n">
        <x:f>ROUND(I24+J24,2)</x:f>
        <x:v>366.13</x:v>
      </x:c>
      <x:c r="L24" s="182" t="n">
        <x:f>K24/'Performance Sector'!$M$10</x:f>
        <x:v>0.003035672740665346</x:v>
      </x:c>
      <x:c r="M24" s="182" t="n">
        <x:f>(K24/E24)^(1/2)-1</x:f>
        <x:v>0.20836235511382561</x:v>
      </x:c>
      <x:c r="N24" s="167"/>
      <x:c r="O24" s="173" t="str">
        <x:v>The combined series harmonises close labels across public/private tables (for example, Drugs and Drugs &amp; Pharmaceuticals). Named strategic rows are omitted. Industry-group classifications differ from the NIC economic-activity classification on the next sheet. Shares use the full component-consistent public + private performer total as denominator, so displayed rows do not sum to 100%.</x:v>
      </x:c>
      <x:c r="P24" s="174"/>
      <x:c r="Q24" s="174"/>
      <x:c r="R24" s="174"/>
      <x:c r="S24" s="174"/>
      <x:c r="T24" s="174"/>
      <x:c r="U24" s="174"/>
      <x:c r="V24" s="174"/>
      <x:c r="W24" s="175"/>
    </x:row>
    <x:row r="25">
      <x:c r="A25" s="22" t="str">
        <x:v>Medical</x:v>
      </x:c>
      <x:c r="B25" s="22" t="str">
        <x:v>No</x:v>
      </x:c>
      <x:c r="C25" s="170" t="n">
        <x:f>'Industry Public'!$C$18</x:f>
        <x:v>6.71</x:v>
      </x:c>
      <x:c r="D25" s="170" t="n">
        <x:f>'Industry Private'!$C$30</x:f>
        <x:v>207.19</x:v>
      </x:c>
      <x:c r="E25" s="170" t="n">
        <x:f>ROUND(C25+D25,2)</x:f>
        <x:v>213.9</x:v>
      </x:c>
      <x:c r="F25" s="170" t="n">
        <x:f>'Industry Public'!$D$18</x:f>
        <x:v>7.67</x:v>
      </x:c>
      <x:c r="G25" s="170" t="n">
        <x:f>'Industry Private'!$D$30</x:f>
        <x:v>223.75</x:v>
      </x:c>
      <x:c r="H25" s="170" t="n">
        <x:f>ROUND(F25+G25,2)</x:f>
        <x:v>231.42</x:v>
      </x:c>
      <x:c r="I25" s="170" t="n">
        <x:f>'Industry Public'!$E$18</x:f>
        <x:v>9.88</x:v>
      </x:c>
      <x:c r="J25" s="170" t="n">
        <x:f>'Industry Private'!$E$30</x:f>
        <x:v>291.94</x:v>
      </x:c>
      <x:c r="K25" s="170" t="n">
        <x:f>ROUND(I25+J25,2)</x:f>
        <x:v>301.82</x:v>
      </x:c>
      <x:c r="L25" s="182" t="n">
        <x:f>K25/'Performance Sector'!$M$10</x:f>
        <x:v>0.002502462913685343</x:v>
      </x:c>
      <x:c r="M25" s="182" t="n">
        <x:f>(K25/E25)^(1/2)-1</x:f>
        <x:v>0.1878691818044944</x:v>
      </x:c>
      <x:c r="N25" s="167"/>
      <x:c r="O25" s="176"/>
      <x:c r="P25" s="177"/>
      <x:c r="Q25" s="177"/>
      <x:c r="R25" s="177"/>
      <x:c r="S25" s="177"/>
      <x:c r="T25" s="177"/>
      <x:c r="U25" s="177"/>
      <x:c r="V25" s="177"/>
      <x:c r="W25" s="178"/>
    </x:row>
    <x:row r="26">
      <x:c r="A26" s="22" t="str">
        <x:v>Fertilizers</x:v>
      </x:c>
      <x:c r="B26" s="22" t="str">
        <x:v>No</x:v>
      </x:c>
      <x:c r="C26" s="170" t="n">
        <x:f>'Industry Public'!$C$14</x:f>
        <x:v>51.77</x:v>
      </x:c>
      <x:c r="D26" s="170" t="n">
        <x:f>'Industry Private'!$C$19</x:f>
        <x:v>120.86</x:v>
      </x:c>
      <x:c r="E26" s="170" t="n">
        <x:f>ROUND(C26+D26,2)</x:f>
        <x:v>172.63</x:v>
      </x:c>
      <x:c r="F26" s="170" t="n">
        <x:f>'Industry Public'!$D$14</x:f>
        <x:v>66.77</x:v>
      </x:c>
      <x:c r="G26" s="170" t="n">
        <x:f>'Industry Private'!$D$19</x:f>
        <x:v>160.59</x:v>
      </x:c>
      <x:c r="H26" s="170" t="n">
        <x:f>ROUND(F26+G26,2)</x:f>
        <x:v>227.36</x:v>
      </x:c>
      <x:c r="I26" s="170" t="n">
        <x:f>'Industry Public'!$E$14</x:f>
        <x:v>66.36</x:v>
      </x:c>
      <x:c r="J26" s="170" t="n">
        <x:f>'Industry Private'!$E$19</x:f>
        <x:v>161.47</x:v>
      </x:c>
      <x:c r="K26" s="170" t="n">
        <x:f>ROUND(I26+J26,2)</x:f>
        <x:v>227.83</x:v>
      </x:c>
      <x:c r="L26" s="182" t="n">
        <x:f>K26/'Performance Sector'!$M$10</x:f>
        <x:v>0.0018889938560232315</x:v>
      </x:c>
      <x:c r="M26" s="182" t="n">
        <x:f>(K26/E26)^(1/2)-1</x:f>
        <x:v>0.14880765238841387</x:v>
      </x:c>
      <x:c r="N26" s="167"/>
      <x:c r="O26" s="176"/>
      <x:c r="P26" s="177"/>
      <x:c r="Q26" s="177"/>
      <x:c r="R26" s="177"/>
      <x:c r="S26" s="177"/>
      <x:c r="T26" s="177"/>
      <x:c r="U26" s="177"/>
      <x:c r="V26" s="177"/>
      <x:c r="W26" s="178"/>
    </x:row>
    <x:row r="27">
      <x:c r="A27" s="22" t="str">
        <x:v>Miscellaneous Industries</x:v>
      </x:c>
      <x:c r="B27" s="22" t="str">
        <x:v>No</x:v>
      </x:c>
      <x:c r="C27" s="170" t="n">
        <x:v>0</x:v>
      </x:c>
      <x:c r="D27" s="170" t="n">
        <x:f>'Industry Private'!$C$33</x:f>
        <x:v>212.91</x:v>
      </x:c>
      <x:c r="E27" s="170" t="n">
        <x:f>ROUND(C27+D27,2)</x:f>
        <x:v>212.91</x:v>
      </x:c>
      <x:c r="F27" s="170" t="n">
        <x:v>0</x:v>
      </x:c>
      <x:c r="G27" s="170" t="n">
        <x:f>'Industry Private'!$D$33</x:f>
        <x:v>198.51</x:v>
      </x:c>
      <x:c r="H27" s="170" t="n">
        <x:f>ROUND(F27+G27,2)</x:f>
        <x:v>198.51</x:v>
      </x:c>
      <x:c r="I27" s="170" t="n">
        <x:v>0</x:v>
      </x:c>
      <x:c r="J27" s="170" t="n">
        <x:f>'Industry Private'!$E$33</x:f>
        <x:v>225.18</x:v>
      </x:c>
      <x:c r="K27" s="170" t="n">
        <x:f>ROUND(I27+J27,2)</x:f>
        <x:v>225.18</x:v>
      </x:c>
      <x:c r="L27" s="182" t="n">
        <x:f>K27/'Performance Sector'!$M$10</x:f>
        <x:v>0.0018670220624997203</x:v>
      </x:c>
      <x:c r="M27" s="182" t="n">
        <x:f>(K27/E27)^(1/2)-1</x:f>
        <x:v>0.028411388745035904</x:v>
      </x:c>
      <x:c r="N27" s="167"/>
      <x:c r="O27" s="176"/>
      <x:c r="P27" s="177"/>
      <x:c r="Q27" s="177"/>
      <x:c r="R27" s="177"/>
      <x:c r="S27" s="177"/>
      <x:c r="T27" s="177"/>
      <x:c r="U27" s="177"/>
      <x:c r="V27" s="177"/>
      <x:c r="W27" s="178"/>
    </x:row>
    <x:row r="28">
      <x:c r="A28" s="22" t="str">
        <x:v>Scientific Instruments</x:v>
      </x:c>
      <x:c r="B28" s="22" t="str">
        <x:v>No</x:v>
      </x:c>
      <x:c r="C28" s="170" t="n">
        <x:f>'Industry Public'!$C$22</x:f>
        <x:v>3.07</x:v>
      </x:c>
      <x:c r="D28" s="170" t="n">
        <x:f>'Industry Private'!$C$38</x:f>
        <x:v>194.56</x:v>
      </x:c>
      <x:c r="E28" s="170" t="n">
        <x:f>ROUND(C28+D28,2)</x:f>
        <x:v>197.63</x:v>
      </x:c>
      <x:c r="F28" s="170" t="n">
        <x:f>'Industry Public'!$D$22</x:f>
        <x:v>2.98</x:v>
      </x:c>
      <x:c r="G28" s="170" t="n">
        <x:f>'Industry Private'!$D$38</x:f>
        <x:v>218.42</x:v>
      </x:c>
      <x:c r="H28" s="170" t="n">
        <x:f>ROUND(F28+G28,2)</x:f>
        <x:v>221.4</x:v>
      </x:c>
      <x:c r="I28" s="170" t="n">
        <x:f>'Industry Public'!$E$22</x:f>
        <x:v>2.68</x:v>
      </x:c>
      <x:c r="J28" s="170" t="n">
        <x:f>'Industry Private'!$E$38</x:f>
        <x:v>219.3</x:v>
      </x:c>
      <x:c r="K28" s="170" t="n">
        <x:f>ROUND(I28+J28,2)</x:f>
        <x:v>221.98</x:v>
      </x:c>
      <x:c r="L28" s="182" t="n">
        <x:f>K28/'Performance Sector'!$M$10</x:f>
        <x:v>0.0018404900854147256</x:v>
      </x:c>
      <x:c r="M28" s="182" t="n">
        <x:f>(K28/E28)^(1/2)-1</x:f>
        <x:v>0.05981604015116515</x:v>
      </x:c>
      <x:c r="N28" s="167"/>
      <x:c r="O28" s="179"/>
      <x:c r="P28" s="180"/>
      <x:c r="Q28" s="180"/>
      <x:c r="R28" s="180"/>
      <x:c r="S28" s="180"/>
      <x:c r="T28" s="180"/>
      <x:c r="U28" s="180"/>
      <x:c r="V28" s="180"/>
      <x:c r="W28" s="181"/>
    </x:row>
    <x:row r="29">
      <x:c r="A29" s="22" t="str">
        <x:v>Consultancy</x:v>
      </x:c>
      <x:c r="B29" s="22" t="str">
        <x:v>No</x:v>
      </x:c>
      <x:c r="C29" s="170" t="n">
        <x:f>'Industry Public'!$C$11</x:f>
        <x:v>62.25</x:v>
      </x:c>
      <x:c r="D29" s="170" t="n">
        <x:f>'Industry Private'!$C$13</x:f>
        <x:v>64.16</x:v>
      </x:c>
      <x:c r="E29" s="170" t="n">
        <x:f>ROUND(C29+D29,2)</x:f>
        <x:v>126.41</x:v>
      </x:c>
      <x:c r="F29" s="170" t="n">
        <x:f>'Industry Public'!$D$11</x:f>
        <x:v>109.9</x:v>
      </x:c>
      <x:c r="G29" s="170" t="n">
        <x:f>'Industry Private'!$D$13</x:f>
        <x:v>73</x:v>
      </x:c>
      <x:c r="H29" s="170" t="n">
        <x:f>ROUND(F29+G29,2)</x:f>
        <x:v>182.9</x:v>
      </x:c>
      <x:c r="I29" s="170" t="n">
        <x:f>'Industry Public'!$E$11</x:f>
        <x:v>103.32</x:v>
      </x:c>
      <x:c r="J29" s="170" t="n">
        <x:f>'Industry Private'!$E$13</x:f>
        <x:v>108.26</x:v>
      </x:c>
      <x:c r="K29" s="170" t="n">
        <x:f>ROUND(I29+J29,2)</x:f>
        <x:v>211.58</x:v>
      </x:c>
      <x:c r="L29" s="182" t="n">
        <x:f>K29/'Performance Sector'!$M$10</x:f>
        <x:v>0.0017542611598884929</x:v>
      </x:c>
      <x:c r="M29" s="182" t="n">
        <x:f>(K29/E29)^(1/2)-1</x:f>
        <x:v>0.29373876317546177</x:v>
      </x:c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</x:row>
    <x:row r="30">
      <x:c r="A30" s="22" t="str">
        <x:v>Soaps</x:v>
      </x:c>
      <x:c r="B30" s="22" t="str">
        <x:v>No</x:v>
      </x:c>
      <x:c r="C30" s="170" t="n">
        <x:f>'Industry Public'!$C$23</x:f>
        <x:v>0.26</x:v>
      </x:c>
      <x:c r="D30" s="170" t="n">
        <x:f>'Industry Private'!$C$39</x:f>
        <x:v>106.29</x:v>
      </x:c>
      <x:c r="E30" s="170" t="n">
        <x:f>ROUND(C30+D30,2)</x:f>
        <x:v>106.55</x:v>
      </x:c>
      <x:c r="F30" s="170" t="n">
        <x:f>'Industry Public'!$D$23</x:f>
        <x:v>0.31</x:v>
      </x:c>
      <x:c r="G30" s="170" t="n">
        <x:f>'Industry Private'!$D$39</x:f>
        <x:v>158.17</x:v>
      </x:c>
      <x:c r="H30" s="170" t="n">
        <x:f>ROUND(F30+G30,2)</x:f>
        <x:v>158.48</x:v>
      </x:c>
      <x:c r="I30" s="170" t="n">
        <x:f>'Industry Public'!$E$23</x:f>
        <x:v>0.61</x:v>
      </x:c>
      <x:c r="J30" s="170" t="n">
        <x:f>'Industry Private'!$E$39</x:f>
        <x:v>194.24</x:v>
      </x:c>
      <x:c r="K30" s="170" t="n">
        <x:f>ROUND(I30+J30,2)</x:f>
        <x:v>194.85</x:v>
      </x:c>
      <x:c r="L30" s="182" t="n">
        <x:f>K30/'Performance Sector'!$M$10</x:f>
        <x:v>0.001615548667191005</x:v>
      </x:c>
      <x:c r="M30" s="182" t="n">
        <x:f>(K30/E30)^(1/2)-1</x:f>
        <x:v>0.35230133894381854</x:v>
      </x:c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</x:row>
    <x:row r="31">
      <x:c r="A31" s="22" t="str">
        <x:v>Glass</x:v>
      </x:c>
      <x:c r="B31" s="22" t="str">
        <x:v>No</x:v>
      </x:c>
      <x:c r="C31" s="170" t="n">
        <x:v>0</x:v>
      </x:c>
      <x:c r="D31" s="170" t="n">
        <x:f>'Industry Private'!$C$22</x:f>
        <x:v>184.64</x:v>
      </x:c>
      <x:c r="E31" s="170" t="n">
        <x:f>ROUND(C31+D31,2)</x:f>
        <x:v>184.64</x:v>
      </x:c>
      <x:c r="F31" s="170" t="n">
        <x:v>0</x:v>
      </x:c>
      <x:c r="G31" s="170" t="n">
        <x:f>'Industry Private'!$D$22</x:f>
        <x:v>171.56</x:v>
      </x:c>
      <x:c r="H31" s="170" t="n">
        <x:f>ROUND(F31+G31,2)</x:f>
        <x:v>171.56</x:v>
      </x:c>
      <x:c r="I31" s="170" t="n">
        <x:v>0</x:v>
      </x:c>
      <x:c r="J31" s="170" t="n">
        <x:f>'Industry Private'!$E$22</x:f>
        <x:v>189.05</x:v>
      </x:c>
      <x:c r="K31" s="170" t="n">
        <x:f>ROUND(I31+J31,2)</x:f>
        <x:v>189.05</x:v>
      </x:c>
      <x:c r="L31" s="182" t="n">
        <x:f>K31/'Performance Sector'!$M$10</x:f>
        <x:v>0.001567459458724452</x:v>
      </x:c>
      <x:c r="M31" s="182" t="n">
        <x:f>(K31/E31)^(1/2)-1</x:f>
        <x:v>0.011871689209956182</x:v>
      </x:c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</x:row>
    <x:row r="32">
      <x:c r="A32" s="22" t="str">
        <x:v>Earth Moving Machinery</x:v>
      </x:c>
      <x:c r="B32" s="22" t="str">
        <x:v>No</x:v>
      </x:c>
      <x:c r="C32" s="170" t="n">
        <x:v>0</x:v>
      </x:c>
      <x:c r="D32" s="170" t="n">
        <x:f>'Industry Private'!$C$16</x:f>
        <x:v>92.05</x:v>
      </x:c>
      <x:c r="E32" s="170" t="n">
        <x:f>ROUND(C32+D32,2)</x:f>
        <x:v>92.05</x:v>
      </x:c>
      <x:c r="F32" s="170" t="n">
        <x:v>0</x:v>
      </x:c>
      <x:c r="G32" s="170" t="n">
        <x:f>'Industry Private'!$D$16</x:f>
        <x:v>107.74</x:v>
      </x:c>
      <x:c r="H32" s="170" t="n">
        <x:f>ROUND(F32+G32,2)</x:f>
        <x:v>107.74</x:v>
      </x:c>
      <x:c r="I32" s="170" t="n">
        <x:v>0</x:v>
      </x:c>
      <x:c r="J32" s="170" t="n">
        <x:f>'Industry Private'!$E$16</x:f>
        <x:v>151.38</x:v>
      </x:c>
      <x:c r="K32" s="170" t="n">
        <x:f>ROUND(I32+J32,2)</x:f>
        <x:v>151.38</x:v>
      </x:c>
      <x:c r="L32" s="182" t="n">
        <x:f>K32/'Performance Sector'!$M$10</x:f>
        <x:v>0.0012551283409770301</x:v>
      </x:c>
      <x:c r="M32" s="182" t="n">
        <x:f>(K32/E32)^(1/2)-1</x:f>
        <x:v>0.28239658854836236</x:v>
      </x:c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</x:row>
    <x:row r="33">
      <x:c r="A33" s="22" t="str">
        <x:v>Cement &amp; Gypsum</x:v>
      </x:c>
      <x:c r="B33" s="22" t="str">
        <x:v>No</x:v>
      </x:c>
      <x:c r="C33" s="170" t="n">
        <x:f>'Industry Public'!$C$9</x:f>
        <x:v>0</x:v>
      </x:c>
      <x:c r="D33" s="170" t="n">
        <x:f>'Industry Private'!$C$9</x:f>
        <x:v>429.21</x:v>
      </x:c>
      <x:c r="E33" s="170" t="n">
        <x:f>ROUND(C33+D33,2)</x:f>
        <x:v>429.21</x:v>
      </x:c>
      <x:c r="F33" s="170" t="n">
        <x:f>'Industry Public'!$D$9</x:f>
        <x:v>0.1</x:v>
      </x:c>
      <x:c r="G33" s="170" t="n">
        <x:f>'Industry Private'!$D$9</x:f>
        <x:v>93.52</x:v>
      </x:c>
      <x:c r="H33" s="170" t="n">
        <x:f>ROUND(F33+G33,2)</x:f>
        <x:v>93.62</x:v>
      </x:c>
      <x:c r="I33" s="170" t="n">
        <x:f>'Industry Public'!$E$9</x:f>
        <x:v>0.64</x:v>
      </x:c>
      <x:c r="J33" s="170" t="n">
        <x:f>'Industry Private'!$E$9</x:f>
        <x:v>119.47</x:v>
      </x:c>
      <x:c r="K33" s="170" t="n">
        <x:f>ROUND(I33+J33,2)</x:f>
        <x:v>120.11</x:v>
      </x:c>
      <x:c r="L33" s="182" t="n">
        <x:f>K33/'Performance Sector'!$M$10</x:f>
        <x:v>0.0009958611773995976</x:v>
      </x:c>
      <x:c r="M33" s="182" t="n">
        <x:f>(K33/E33)^(1/2)-1</x:f>
        <x:v>-0.47100122353122253</x:v>
      </x:c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</x:row>
    <x:row r="34">
      <x:c r="A34" s="22" t="str">
        <x:v>Timber Products</x:v>
      </x:c>
      <x:c r="B34" s="22" t="str">
        <x:v>No</x:v>
      </x:c>
      <x:c r="C34" s="170" t="n">
        <x:v>0</x:v>
      </x:c>
      <x:c r="D34" s="170" t="n">
        <x:f>'Industry Private'!$C$43</x:f>
        <x:v>86.2</x:v>
      </x:c>
      <x:c r="E34" s="170" t="n">
        <x:f>ROUND(C34+D34,2)</x:f>
        <x:v>86.2</x:v>
      </x:c>
      <x:c r="F34" s="170" t="n">
        <x:v>0</x:v>
      </x:c>
      <x:c r="G34" s="170" t="n">
        <x:f>'Industry Private'!$D$43</x:f>
        <x:v>102.71</x:v>
      </x:c>
      <x:c r="H34" s="170" t="n">
        <x:f>ROUND(F34+G34,2)</x:f>
        <x:v>102.71</x:v>
      </x:c>
      <x:c r="I34" s="170" t="n">
        <x:v>0</x:v>
      </x:c>
      <x:c r="J34" s="170" t="n">
        <x:f>'Industry Private'!$E$43</x:f>
        <x:v>108.68</x:v>
      </x:c>
      <x:c r="K34" s="170" t="n">
        <x:f>ROUND(I34+J34,2)</x:f>
        <x:v>108.68</x:v>
      </x:c>
      <x:c r="L34" s="182" t="n">
        <x:f>K34/'Performance Sector'!$M$10</x:f>
        <x:v>0.0009010922717491324</x:v>
      </x:c>
      <x:c r="M34" s="182" t="n">
        <x:f>(K34/E34)^(1/2)-1</x:f>
        <x:v>0.12284854860709005</x:v>
      </x:c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</x:row>
    <x:row r="35">
      <x:c r="A35" s="22" t="str">
        <x:v>Ceramics</x:v>
      </x:c>
      <x:c r="B35" s="22" t="str">
        <x:v>No</x:v>
      </x:c>
      <x:c r="C35" s="170" t="n">
        <x:v>0</x:v>
      </x:c>
      <x:c r="D35" s="170" t="n">
        <x:f>'Industry Private'!$C$10</x:f>
        <x:v>81.73</x:v>
      </x:c>
      <x:c r="E35" s="170" t="n">
        <x:f>ROUND(C35+D35,2)</x:f>
        <x:v>81.73</x:v>
      </x:c>
      <x:c r="F35" s="170" t="n">
        <x:v>0</x:v>
      </x:c>
      <x:c r="G35" s="170" t="n">
        <x:f>'Industry Private'!$D$10</x:f>
        <x:v>87.83</x:v>
      </x:c>
      <x:c r="H35" s="170" t="n">
        <x:f>ROUND(F35+G35,2)</x:f>
        <x:v>87.83</x:v>
      </x:c>
      <x:c r="I35" s="170" t="n">
        <x:v>0</x:v>
      </x:c>
      <x:c r="J35" s="170" t="n">
        <x:f>'Industry Private'!$E$10</x:f>
        <x:v>83.01</x:v>
      </x:c>
      <x:c r="K35" s="170" t="n">
        <x:f>ROUND(I35+J35,2)</x:f>
        <x:v>83.01</x:v>
      </x:c>
      <x:c r="L35" s="182" t="n">
        <x:f>K35/'Performance Sector'!$M$10</x:f>
        <x:v>0.0006882560680704405</x:v>
      </x:c>
      <x:c r="M35" s="182" t="n">
        <x:f>(K35/E35)^(1/2)-1</x:f>
        <x:v>0.007800240063120523</x:v>
      </x:c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</x:row>
    <x:row r="36">
      <x:c r="A36" s="22" t="str">
        <x:v>Paper</x:v>
      </x:c>
      <x:c r="B36" s="22" t="str">
        <x:v>No</x:v>
      </x:c>
      <x:c r="C36" s="170" t="n">
        <x:f>'Industry Public'!$C$21</x:f>
        <x:v>12.87</x:v>
      </x:c>
      <x:c r="D36" s="170" t="n">
        <x:f>'Industry Private'!$C$34</x:f>
        <x:v>34.4</x:v>
      </x:c>
      <x:c r="E36" s="170" t="n">
        <x:f>ROUND(C36+D36,2)</x:f>
        <x:v>47.27</x:v>
      </x:c>
      <x:c r="F36" s="170" t="n">
        <x:f>'Industry Public'!$D$21</x:f>
        <x:v>15.11</x:v>
      </x:c>
      <x:c r="G36" s="170" t="n">
        <x:f>'Industry Private'!$D$34</x:f>
        <x:v>37.57</x:v>
      </x:c>
      <x:c r="H36" s="170" t="n">
        <x:f>ROUND(F36+G36,2)</x:f>
        <x:v>52.68</x:v>
      </x:c>
      <x:c r="I36" s="170" t="n">
        <x:f>'Industry Public'!$E$21</x:f>
        <x:v>19.33</x:v>
      </x:c>
      <x:c r="J36" s="170" t="n">
        <x:f>'Industry Private'!$E$34</x:f>
        <x:v>41.44</x:v>
      </x:c>
      <x:c r="K36" s="170" t="n">
        <x:f>ROUND(I36+J36,2)</x:f>
        <x:v>60.77</x:v>
      </x:c>
      <x:c r="L36" s="182" t="n">
        <x:f>K36/'Performance Sector'!$M$10</x:f>
        <x:v>0.0005038588273297273</x:v>
      </x:c>
      <x:c r="M36" s="182" t="n">
        <x:f>(K36/E36)^(1/2)-1</x:f>
        <x:v>0.13384011201721413</x:v>
      </x:c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</x:row>
    <x:row r="37">
      <x:c r="A37" s="22" t="str">
        <x:v>Dyestuffs</x:v>
      </x:c>
      <x:c r="B37" s="22" t="str">
        <x:v>No</x:v>
      </x:c>
      <x:c r="C37" s="170" t="n">
        <x:v>0</x:v>
      </x:c>
      <x:c r="D37" s="170" t="n">
        <x:f>'Industry Private'!$C$15</x:f>
        <x:v>47.81</x:v>
      </x:c>
      <x:c r="E37" s="170" t="n">
        <x:f>ROUND(C37+D37,2)</x:f>
        <x:v>47.81</x:v>
      </x:c>
      <x:c r="F37" s="170" t="n">
        <x:v>0</x:v>
      </x:c>
      <x:c r="G37" s="170" t="n">
        <x:f>'Industry Private'!$D$15</x:f>
        <x:v>54.62</x:v>
      </x:c>
      <x:c r="H37" s="170" t="n">
        <x:f>ROUND(F37+G37,2)</x:f>
        <x:v>54.62</x:v>
      </x:c>
      <x:c r="I37" s="170" t="n">
        <x:v>0</x:v>
      </x:c>
      <x:c r="J37" s="170" t="n">
        <x:f>'Industry Private'!$E$15</x:f>
        <x:v>59.18</x:v>
      </x:c>
      <x:c r="K37" s="170" t="n">
        <x:f>ROUND(I37+J37,2)</x:f>
        <x:v>59.18</x:v>
      </x:c>
      <x:c r="L37" s="182" t="n">
        <x:f>K37/'Performance Sector'!$M$10</x:f>
        <x:v>0.0004906757512156206</x:v>
      </x:c>
      <x:c r="M37" s="182" t="n">
        <x:f>(K37/E37)^(1/2)-1</x:f>
        <x:v>0.11257195561041922</x:v>
      </x:c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</x:row>
    <x:row r="38">
      <x:c r="A38" s="22" t="str">
        <x:v>Fermentation Industries</x:v>
      </x:c>
      <x:c r="B38" s="22" t="str">
        <x:v>No</x:v>
      </x:c>
      <x:c r="C38" s="170" t="n">
        <x:v>0</x:v>
      </x:c>
      <x:c r="D38" s="170" t="n">
        <x:f>'Industry Private'!$C$18</x:f>
        <x:v>22.87</x:v>
      </x:c>
      <x:c r="E38" s="170" t="n">
        <x:f>ROUND(C38+D38,2)</x:f>
        <x:v>22.87</x:v>
      </x:c>
      <x:c r="F38" s="170" t="n">
        <x:v>0</x:v>
      </x:c>
      <x:c r="G38" s="170" t="n">
        <x:f>'Industry Private'!$D$18</x:f>
        <x:v>37.02</x:v>
      </x:c>
      <x:c r="H38" s="170" t="n">
        <x:f>ROUND(F38+G38,2)</x:f>
        <x:v>37.02</x:v>
      </x:c>
      <x:c r="I38" s="170" t="n">
        <x:v>0</x:v>
      </x:c>
      <x:c r="J38" s="170" t="n">
        <x:f>'Industry Private'!$E$18</x:f>
        <x:v>37.81</x:v>
      </x:c>
      <x:c r="K38" s="170" t="n">
        <x:f>ROUND(I38+J38,2)</x:f>
        <x:v>37.81</x:v>
      </x:c>
      <x:c r="L38" s="182" t="n">
        <x:f>K38/'Performance Sector'!$M$10</x:f>
        <x:v>0.00031349189174489044</x:v>
      </x:c>
      <x:c r="M38" s="182" t="n">
        <x:f>(K38/E38)^(1/2)-1</x:f>
        <x:v>0.2857906293919976</x:v>
      </x:c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</x:row>
    <x:row r="39">
      <x:c r="A39" s="22" t="str">
        <x:v>Sugar</x:v>
      </x:c>
      <x:c r="B39" s="22" t="str">
        <x:v>No</x:v>
      </x:c>
      <x:c r="C39" s="170" t="n">
        <x:f>'Industry Public'!$C$24</x:f>
        <x:v>0.98</x:v>
      </x:c>
      <x:c r="D39" s="170" t="n">
        <x:f>'Industry Private'!$C$40</x:f>
        <x:v>8.49</x:v>
      </x:c>
      <x:c r="E39" s="170" t="n">
        <x:f>ROUND(C39+D39,2)</x:f>
        <x:v>9.47</x:v>
      </x:c>
      <x:c r="F39" s="170" t="n">
        <x:f>'Industry Public'!$D$24</x:f>
        <x:v>0.86</x:v>
      </x:c>
      <x:c r="G39" s="170" t="n">
        <x:f>'Industry Private'!$D$40</x:f>
        <x:v>10.38</x:v>
      </x:c>
      <x:c r="H39" s="170" t="n">
        <x:f>ROUND(F39+G39,2)</x:f>
        <x:v>11.24</x:v>
      </x:c>
      <x:c r="I39" s="170" t="n">
        <x:f>'Industry Public'!$E$24</x:f>
        <x:v>0.7</x:v>
      </x:c>
      <x:c r="J39" s="170" t="n">
        <x:f>'Industry Private'!$E$40</x:f>
        <x:v>28.03</x:v>
      </x:c>
      <x:c r="K39" s="170" t="n">
        <x:f>ROUND(I39+J39,2)</x:f>
        <x:v>28.73</x:v>
      </x:c>
      <x:c r="L39" s="182" t="n">
        <x:f>K39/'Performance Sector'!$M$10</x:f>
        <x:v>0.00023820740676621798</x:v>
      </x:c>
      <x:c r="M39" s="182" t="n">
        <x:f>(K39/E39)^(1/2)-1</x:f>
        <x:v>0.7417780911156857</x:v>
      </x:c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</x:row>
    <x:row r="40">
      <x:c r="A40" s="22" t="str">
        <x:v>Leather</x:v>
      </x:c>
      <x:c r="B40" s="22" t="str">
        <x:v>No</x:v>
      </x:c>
      <x:c r="C40" s="170" t="n">
        <x:v>0</x:v>
      </x:c>
      <x:c r="D40" s="170" t="n">
        <x:f>'Industry Private'!$C$27</x:f>
        <x:v>23.2</x:v>
      </x:c>
      <x:c r="E40" s="170" t="n">
        <x:f>ROUND(C40+D40,2)</x:f>
        <x:v>23.2</x:v>
      </x:c>
      <x:c r="F40" s="170" t="n">
        <x:v>0</x:v>
      </x:c>
      <x:c r="G40" s="170" t="n">
        <x:f>'Industry Private'!$D$27</x:f>
        <x:v>22.26</x:v>
      </x:c>
      <x:c r="H40" s="170" t="n">
        <x:f>ROUND(F40+G40,2)</x:f>
        <x:v>22.26</x:v>
      </x:c>
      <x:c r="I40" s="170" t="n">
        <x:v>0</x:v>
      </x:c>
      <x:c r="J40" s="170" t="n">
        <x:f>'Industry Private'!$E$27</x:f>
        <x:v>23.05</x:v>
      </x:c>
      <x:c r="K40" s="170" t="n">
        <x:f>ROUND(I40+J40,2)</x:f>
        <x:v>23.05</x:v>
      </x:c>
      <x:c r="L40" s="182" t="n">
        <x:f>K40/'Performance Sector'!$M$10</x:f>
        <x:v>0.0001911131474403524</x:v>
      </x:c>
      <x:c r="M40" s="182" t="n">
        <x:f>(K40/E40)^(1/2)-1</x:f>
        <x:v>-0.0032380009457519954</x:v>
      </x:c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</x:row>
    <x:row r="41">
      <x:c r="A41" s="22" t="str">
        <x:v>Vegetable Oils</x:v>
      </x:c>
      <x:c r="B41" s="22" t="str">
        <x:v>No</x:v>
      </x:c>
      <x:c r="C41" s="170" t="n">
        <x:v>0</x:v>
      </x:c>
      <x:c r="D41" s="170" t="n">
        <x:f>'Industry Private'!$C$45</x:f>
        <x:v>13.02</x:v>
      </x:c>
      <x:c r="E41" s="170" t="n">
        <x:f>ROUND(C41+D41,2)</x:f>
        <x:v>13.02</x:v>
      </x:c>
      <x:c r="F41" s="170" t="n">
        <x:v>0</x:v>
      </x:c>
      <x:c r="G41" s="170" t="n">
        <x:f>'Industry Private'!$D$45</x:f>
        <x:v>15.46</x:v>
      </x:c>
      <x:c r="H41" s="170" t="n">
        <x:f>ROUND(F41+G41,2)</x:f>
        <x:v>15.46</x:v>
      </x:c>
      <x:c r="I41" s="170" t="n">
        <x:v>0</x:v>
      </x:c>
      <x:c r="J41" s="170" t="n">
        <x:f>'Industry Private'!$E$45</x:f>
        <x:v>14.23</x:v>
      </x:c>
      <x:c r="K41" s="170" t="n">
        <x:f>ROUND(I41+J41,2)</x:f>
        <x:v>14.23</x:v>
      </x:c>
      <x:c r="L41" s="182" t="n">
        <x:f>K41/'Performance Sector'!$M$10</x:f>
        <x:v>0.00011798438559983578</x:v>
      </x:c>
      <x:c r="M41" s="182" t="n">
        <x:f>(K41/E41)^(1/2)-1</x:f>
        <x:v>0.045434812780145384</x:v>
      </x:c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</x:row>
    <x:row r="42">
      <x:c r="A42" s="22" t="str">
        <x:v>Glue</x:v>
      </x:c>
      <x:c r="B42" s="22" t="str">
        <x:v>No</x:v>
      </x:c>
      <x:c r="C42" s="170" t="n">
        <x:v>0</x:v>
      </x:c>
      <x:c r="D42" s="170" t="n">
        <x:f>'Industry Private'!$C$23</x:f>
        <x:v>5</x:v>
      </x:c>
      <x:c r="E42" s="170" t="n">
        <x:f>ROUND(C42+D42,2)</x:f>
        <x:v>5</x:v>
      </x:c>
      <x:c r="F42" s="170" t="n">
        <x:v>0</x:v>
      </x:c>
      <x:c r="G42" s="170" t="n">
        <x:f>'Industry Private'!$D$23</x:f>
        <x:v>4.37</x:v>
      </x:c>
      <x:c r="H42" s="170" t="n">
        <x:f>ROUND(F42+G42,2)</x:f>
        <x:v>4.37</x:v>
      </x:c>
      <x:c r="I42" s="170" t="n">
        <x:v>0</x:v>
      </x:c>
      <x:c r="J42" s="170" t="n">
        <x:f>'Industry Private'!$E$23</x:f>
        <x:v>10.47</x:v>
      </x:c>
      <x:c r="K42" s="170" t="n">
        <x:f>ROUND(I42+J42,2)</x:f>
        <x:v>10.47</x:v>
      </x:c>
      <x:c r="L42" s="182" t="n">
        <x:f>K42/'Performance Sector'!$M$10</x:f>
        <x:v>0.00008680931252496702</x:v>
      </x:c>
      <x:c r="M42" s="182" t="n">
        <x:f>(K42/E42)^(1/2)-1</x:f>
        <x:v>0.4470659971127786</x:v>
      </x:c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</x:row>
    <x:row r="43">
      <x:c r="A43" s="22" t="str">
        <x:v>Prime Movers</x:v>
      </x:c>
      <x:c r="B43" s="22" t="str">
        <x:v>No</x:v>
      </x:c>
      <x:c r="C43" s="170" t="n">
        <x:v>0</x:v>
      </x:c>
      <x:c r="D43" s="170" t="n">
        <x:f>'Industry Private'!$C$36</x:f>
        <x:v>9.51</x:v>
      </x:c>
      <x:c r="E43" s="170" t="n">
        <x:f>ROUND(C43+D43,2)</x:f>
        <x:v>9.51</x:v>
      </x:c>
      <x:c r="F43" s="170" t="n">
        <x:v>0</x:v>
      </x:c>
      <x:c r="G43" s="170" t="n">
        <x:f>'Industry Private'!$D$36</x:f>
        <x:v>12.21</x:v>
      </x:c>
      <x:c r="H43" s="170" t="n">
        <x:f>ROUND(F43+G43,2)</x:f>
        <x:v>12.21</x:v>
      </x:c>
      <x:c r="I43" s="170" t="n">
        <x:v>0</x:v>
      </x:c>
      <x:c r="J43" s="170" t="n">
        <x:f>'Industry Private'!$E$36</x:f>
        <x:v>10.03</x:v>
      </x:c>
      <x:c r="K43" s="170" t="n">
        <x:f>ROUND(I43+J43,2)</x:f>
        <x:v>10.03</x:v>
      </x:c>
      <x:c r="L43" s="182" t="n">
        <x:f>K43/'Performance Sector'!$M$10</x:f>
        <x:v>0.00008316116567578024</x:v>
      </x:c>
      <x:c r="M43" s="182" t="n">
        <x:f>(K43/E43)^(1/2)-1</x:f>
        <x:v>0.02697579570464881</x:v>
      </x:c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</x:row>
    <x:row r="44">
      <x:c r="A44" s="22" t="str">
        <x:v>Photographic &amp; Cinematographic Equipment</x:v>
      </x:c>
      <x:c r="B44" s="22" t="str">
        <x:v>No</x:v>
      </x:c>
      <x:c r="C44" s="170" t="n">
        <x:v>0</x:v>
      </x:c>
      <x:c r="D44" s="170" t="n">
        <x:f>'Industry Private'!$C$35</x:f>
        <x:v>14.51</x:v>
      </x:c>
      <x:c r="E44" s="170" t="n">
        <x:f>ROUND(C44+D44,2)</x:f>
        <x:v>14.51</x:v>
      </x:c>
      <x:c r="F44" s="170" t="n">
        <x:v>0</x:v>
      </x:c>
      <x:c r="G44" s="170" t="n">
        <x:f>'Industry Private'!$D$35</x:f>
        <x:v>13.24</x:v>
      </x:c>
      <x:c r="H44" s="170" t="n">
        <x:f>ROUND(F44+G44,2)</x:f>
        <x:v>13.24</x:v>
      </x:c>
      <x:c r="I44" s="170" t="n">
        <x:v>0</x:v>
      </x:c>
      <x:c r="J44" s="170" t="n">
        <x:f>'Industry Private'!$E$35</x:f>
        <x:v>8.84</x:v>
      </x:c>
      <x:c r="K44" s="170" t="n">
        <x:f>ROUND(I44+J44,2)</x:f>
        <x:v>8.84</x:v>
      </x:c>
      <x:c r="L44" s="182" t="n">
        <x:f>K44/'Performance Sector'!$M$10</x:f>
        <x:v>0.00007329458669729783</x:v>
      </x:c>
      <x:c r="M44" s="182" t="n">
        <x:f>(K44/E44)^(1/2)-1</x:f>
        <x:v>-0.21946492049511435</x:v>
      </x:c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</x:row>
    <x:row r="45">
      <x:c r="A45" s="22" t="str">
        <x:v>Mathematical &amp; Surveying Instruments</x:v>
      </x:c>
      <x:c r="B45" s="22" t="str">
        <x:v>No</x:v>
      </x:c>
      <x:c r="C45" s="170" t="n">
        <x:v>0</x:v>
      </x:c>
      <x:c r="D45" s="170" t="n">
        <x:f>'Industry Private'!$C$29</x:f>
        <x:v>0.27</x:v>
      </x:c>
      <x:c r="E45" s="170" t="n">
        <x:f>ROUND(C45+D45,2)</x:f>
        <x:v>0.27</x:v>
      </x:c>
      <x:c r="F45" s="170" t="n">
        <x:v>0</x:v>
      </x:c>
      <x:c r="G45" s="170" t="n">
        <x:f>'Industry Private'!$D$29</x:f>
        <x:v>0.3</x:v>
      </x:c>
      <x:c r="H45" s="170" t="n">
        <x:f>ROUND(F45+G45,2)</x:f>
        <x:v>0.3</x:v>
      </x:c>
      <x:c r="I45" s="170" t="n">
        <x:v>0</x:v>
      </x:c>
      <x:c r="J45" s="170" t="n">
        <x:f>'Industry Private'!$E$29</x:f>
        <x:v>0.16</x:v>
      </x:c>
      <x:c r="K45" s="170" t="n">
        <x:f>ROUND(I45+J45,2)</x:f>
        <x:v>0.16</x:v>
      </x:c>
      <x:c r="L45" s="182" t="n">
        <x:f>K45/'Performance Sector'!$M$10</x:f>
        <x:v>0.0000013265988542497348</x:v>
      </x:c>
      <x:c r="M45" s="182" t="n">
        <x:f>(K45/E45)^(1/2)-1</x:f>
        <x:v>-0.23019964108049895</x:v>
      </x:c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</x:row>
  </x:sheetData>
  <x:mergeCells>
    <x:mergeCell ref="A1:W2"/>
    <x:mergeCell ref="A3:W3"/>
    <x:mergeCell ref="O24:W28"/>
  </x:mergeCells>
  <x:pageMargins left="0.7" right="0.7" top="0.75" bottom="0.75" header="0.3" footer="0.3"/>
  <x:drawing xmlns:r="http://schemas.openxmlformats.org/officeDocument/2006/relationships" r:id="R377945a9b5bf461b"/>
  <x:tableParts count="1">
    <x:tablePart xmlns:r="http://schemas.openxmlformats.org/officeDocument/2006/relationships" r:id="Ra9ff62bd3d4d43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9" max="9" width="53" hidden="0" customWidth="1"/>
    <x:col min="10" max="10" width="18" hidden="0" customWidth="1"/>
  </x:cols>
  <x:sheetData>
    <x:row r="1" ht="26" customHeight="1">
      <x:c r="A1" s="150" t="str">
        <x:v>R&amp;D expenditure by economic activity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  <x:c r="Q1" s="150"/>
    </x:row>
    <x:row r="2" ht="26" customHeight="1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</x:row>
    <x:row r="3" ht="34" customHeight="1">
      <x:c r="A3" s="151" t="str">
        <x:v>NIC-based activity allocation excludes higher education; its total therefore does not equal GERD.</x:v>
      </x:c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  <x:c r="N3" s="151"/>
      <x:c r="O3" s="151"/>
      <x:c r="P3" s="151"/>
      <x:c r="Q3" s="151"/>
    </x:row>
    <x:row r="4">
      <x:c r="A4" s="167"/>
      <x:c r="B4" s="167"/>
      <x:c r="C4" s="167"/>
      <x:c r="D4" s="167"/>
      <x:c r="E4" s="167"/>
      <x:c r="F4" s="167"/>
      <x:c r="G4" s="167"/>
      <x:c r="H4" s="167"/>
      <x:c r="I4" s="167"/>
      <x:c r="J4" s="167"/>
      <x:c r="K4" s="167"/>
      <x:c r="L4" s="167"/>
      <x:c r="M4" s="167"/>
      <x:c r="N4" s="167"/>
      <x:c r="O4" s="167"/>
      <x:c r="P4" s="167"/>
      <x:c r="Q4" s="167"/>
    </x:row>
    <x:row r="5">
      <x:c r="A5" s="154" t="str">
        <x:v>Economic activity</x:v>
      </x:c>
      <x:c r="B5" s="154" t="str">
        <x:v>Strategic flag</x:v>
      </x:c>
      <x:c r="C5" s="154" t="str">
        <x:v>FY2021-22</x:v>
      </x:c>
      <x:c r="D5" s="154" t="str">
        <x:v>FY2022-23</x:v>
      </x:c>
      <x:c r="E5" s="154" t="str">
        <x:v>FY2023-24</x:v>
      </x:c>
      <x:c r="F5" s="154" t="str">
        <x:v>Share of covered total</x:v>
      </x:c>
      <x:c r="G5" s="154" t="str">
        <x:v>2-year CAGR</x:v>
      </x:c>
      <x:c r="H5" s="167"/>
      <x:c r="I5" s="154" t="str">
        <x:v>Top non-strategic activity</x:v>
      </x:c>
      <x:c r="J5" s="154" t="str">
        <x:v>FY2023-24 (₹ cr)</x:v>
      </x:c>
      <x:c r="K5" s="167"/>
      <x:c r="L5" s="167"/>
      <x:c r="M5" s="167"/>
      <x:c r="N5" s="167"/>
      <x:c r="O5" s="167"/>
      <x:c r="P5" s="167"/>
      <x:c r="Q5" s="167"/>
    </x:row>
    <x:row r="6">
      <x:c r="A6" s="22" t="str">
        <x:v>Agriculture, forestry and fishing</x:v>
      </x:c>
      <x:c r="B6" s="22" t="str">
        <x:v>No</x:v>
      </x:c>
      <x:c r="C6" s="170" t="n">
        <x:v>16208.54</x:v>
      </x:c>
      <x:c r="D6" s="170" t="n">
        <x:v>17343.58</x:v>
      </x:c>
      <x:c r="E6" s="170" t="n">
        <x:v>18707.14</x:v>
      </x:c>
      <x:c r="F6" s="182" t="n">
        <x:f>E6/SUM($E$6:$E$39)</x:f>
        <x:v>0.0888651942146232</x:v>
      </x:c>
      <x:c r="G6" s="182" t="n">
        <x:f>(E6/C6)^(1/2)-1</x:f>
        <x:v>0.07431527233358182</x:v>
      </x:c>
      <x:c r="H6" s="167"/>
      <x:c r="I6" s="22" t="str">
        <x:v>Professional, scientific and technical activities</x:v>
      </x:c>
      <x:c r="J6" s="170" t="n">
        <x:f>E35</x:f>
        <x:v>54935.75</x:v>
      </x:c>
      <x:c r="K6" s="167"/>
      <x:c r="L6" s="167"/>
      <x:c r="M6" s="167"/>
      <x:c r="N6" s="167"/>
      <x:c r="O6" s="167"/>
      <x:c r="P6" s="167"/>
      <x:c r="Q6" s="167"/>
    </x:row>
    <x:row r="7">
      <x:c r="A7" s="22" t="str">
        <x:v>Mining and quarrying</x:v>
      </x:c>
      <x:c r="B7" s="22" t="str">
        <x:v>No</x:v>
      </x:c>
      <x:c r="C7" s="170" t="n">
        <x:v>1069.21</x:v>
      </x:c>
      <x:c r="D7" s="170" t="n">
        <x:v>1077.71</x:v>
      </x:c>
      <x:c r="E7" s="170" t="n">
        <x:v>1035.14</x:v>
      </x:c>
      <x:c r="F7" s="182" t="n">
        <x:f>E7/SUM($E$6:$E$39)</x:f>
        <x:v>0.004917262453764983</x:v>
      </x:c>
      <x:c r="G7" s="182" t="n">
        <x:f>(E7/C7)^(1/2)-1</x:f>
        <x:v>-0.016061306650951623</x:v>
      </x:c>
      <x:c r="H7" s="167"/>
      <x:c r="I7" s="22" t="str">
        <x:v>Transportation and storage</x:v>
      </x:c>
      <x:c r="J7" s="170" t="n">
        <x:f>E34</x:f>
        <x:v>29861.78</x:v>
      </x:c>
      <x:c r="K7" s="167"/>
      <x:c r="L7" s="167"/>
      <x:c r="M7" s="167"/>
      <x:c r="N7" s="167"/>
      <x:c r="O7" s="167"/>
      <x:c r="P7" s="167"/>
      <x:c r="Q7" s="167"/>
    </x:row>
    <x:row r="8">
      <x:c r="A8" s="22" t="str">
        <x:v>Manufacture of food products</x:v>
      </x:c>
      <x:c r="B8" s="22" t="str">
        <x:v>No</x:v>
      </x:c>
      <x:c r="C8" s="170" t="n">
        <x:v>452.27</x:v>
      </x:c>
      <x:c r="D8" s="170" t="n">
        <x:v>477.7</x:v>
      </x:c>
      <x:c r="E8" s="170" t="n">
        <x:v>524.82</x:v>
      </x:c>
      <x:c r="F8" s="182" t="n">
        <x:f>E8/SUM($E$6:$E$39)</x:f>
        <x:v>0.0024930711604081945</x:v>
      </x:c>
      <x:c r="G8" s="182" t="n">
        <x:f>(E8/C8)^(1/2)-1</x:f>
        <x:v>0.07722468761918333</x:v>
      </x:c>
      <x:c r="H8" s="167"/>
      <x:c r="I8" s="22" t="str">
        <x:v>Basic pharmaceutical products and preparations</x:v>
      </x:c>
      <x:c r="J8" s="170" t="n">
        <x:f>E18</x:f>
        <x:v>25501.54</x:v>
      </x:c>
      <x:c r="K8" s="167"/>
      <x:c r="L8" s="167"/>
      <x:c r="M8" s="167"/>
      <x:c r="N8" s="167"/>
      <x:c r="O8" s="167"/>
      <x:c r="P8" s="167"/>
      <x:c r="Q8" s="167"/>
    </x:row>
    <x:row r="9">
      <x:c r="A9" s="22" t="str">
        <x:v>Manufacture of beverages</x:v>
      </x:c>
      <x:c r="B9" s="22" t="str">
        <x:v>No</x:v>
      </x:c>
      <x:c r="C9" s="170" t="n">
        <x:v>60.73</x:v>
      </x:c>
      <x:c r="D9" s="170" t="n">
        <x:v>65.53</x:v>
      </x:c>
      <x:c r="E9" s="170" t="n">
        <x:v>55.76</x:v>
      </x:c>
      <x:c r="F9" s="182" t="n">
        <x:f>E9/SUM($E$6:$E$39)</x:f>
        <x:v>0.00026487871633009585</x:v>
      </x:c>
      <x:c r="G9" s="182" t="n">
        <x:f>(E9/C9)^(1/2)-1</x:f>
        <x:v>-0.04179211129424787</x:v>
      </x:c>
      <x:c r="H9" s="167"/>
      <x:c r="I9" s="22" t="str">
        <x:v>Agriculture, forestry and fishing</x:v>
      </x:c>
      <x:c r="J9" s="170" t="n">
        <x:f>E6</x:f>
        <x:v>18707.14</x:v>
      </x:c>
      <x:c r="K9" s="167"/>
      <x:c r="L9" s="167"/>
      <x:c r="M9" s="167"/>
      <x:c r="N9" s="167"/>
      <x:c r="O9" s="167"/>
      <x:c r="P9" s="167"/>
      <x:c r="Q9" s="167"/>
    </x:row>
    <x:row r="10">
      <x:c r="A10" s="22" t="str">
        <x:v>Manufacture of tobacco products</x:v>
      </x:c>
      <x:c r="B10" s="22" t="str">
        <x:v>No</x:v>
      </x:c>
      <x:c r="C10" s="170" t="n">
        <x:v>20.98</x:v>
      </x:c>
      <x:c r="D10" s="170" t="n">
        <x:v>22.48</x:v>
      </x:c>
      <x:c r="E10" s="170" t="n">
        <x:v>26.23</x:v>
      </x:c>
      <x:c r="F10" s="182" t="n">
        <x:f>E10/SUM($E$6:$E$39)</x:f>
        <x:v>0.00012460130432816383</x:v>
      </x:c>
      <x:c r="G10" s="182" t="n">
        <x:f>(E10/C10)^(1/2)-1</x:f>
        <x:v>0.11814056460340905</x:v>
      </x:c>
      <x:c r="H10" s="167"/>
      <x:c r="I10" s="22" t="str">
        <x:v>Human health and social work</x:v>
      </x:c>
      <x:c r="J10" s="170" t="n">
        <x:f>E37</x:f>
        <x:v>16662.45</x:v>
      </x:c>
      <x:c r="K10" s="167"/>
      <x:c r="L10" s="167"/>
      <x:c r="M10" s="167"/>
      <x:c r="N10" s="167"/>
      <x:c r="O10" s="167"/>
      <x:c r="P10" s="167"/>
      <x:c r="Q10" s="167"/>
    </x:row>
    <x:row r="11">
      <x:c r="A11" s="22" t="str">
        <x:v>Manufacture of textiles</x:v>
      </x:c>
      <x:c r="B11" s="22" t="str">
        <x:v>No</x:v>
      </x:c>
      <x:c r="C11" s="170" t="n">
        <x:v>427.02</x:v>
      </x:c>
      <x:c r="D11" s="170" t="n">
        <x:v>500.13</x:v>
      </x:c>
      <x:c r="E11" s="170" t="n">
        <x:v>528.32</x:v>
      </x:c>
      <x:c r="F11" s="182" t="n">
        <x:f>E11/SUM($E$6:$E$39)</x:f>
        <x:v>0.0025096973352137066</x:v>
      </x:c>
      <x:c r="G11" s="182" t="n">
        <x:f>(E11/C11)^(1/2)-1</x:f>
        <x:v>0.11230635289781077</x:v>
      </x:c>
      <x:c r="H11" s="167"/>
      <x:c r="I11" s="22" t="str">
        <x:v>Other service activities (NIC 90)</x:v>
      </x:c>
      <x:c r="J11" s="170" t="n">
        <x:f>E38</x:f>
        <x:v>8926.8</x:v>
      </x:c>
      <x:c r="K11" s="167"/>
      <x:c r="L11" s="167"/>
      <x:c r="M11" s="167"/>
      <x:c r="N11" s="167"/>
      <x:c r="O11" s="167"/>
      <x:c r="P11" s="167"/>
      <x:c r="Q11" s="167"/>
    </x:row>
    <x:row r="12">
      <x:c r="A12" s="22" t="str">
        <x:v>Manufacture of wearing apparel</x:v>
      </x:c>
      <x:c r="B12" s="22" t="str">
        <x:v>No</x:v>
      </x:c>
      <x:c r="C12" s="170" t="n">
        <x:v>6.62</x:v>
      </x:c>
      <x:c r="D12" s="170" t="n">
        <x:v>8.7</x:v>
      </x:c>
      <x:c r="E12" s="170" t="n">
        <x:v>11.64</x:v>
      </x:c>
      <x:c r="F12" s="182" t="n">
        <x:f>E12/SUM($E$6:$E$39)</x:f>
        <x:v>0.00005529390706747339</x:v>
      </x:c>
      <x:c r="G12" s="182" t="n">
        <x:f>(E12/C12)^(1/2)-1</x:f>
        <x:v>0.3260121255477635</x:v>
      </x:c>
      <x:c r="H12" s="167"/>
      <x:c r="I12" s="22" t="str">
        <x:v>Motor vehicles, trailers and semi-trailers</x:v>
      </x:c>
      <x:c r="J12" s="170" t="n">
        <x:f>E26</x:f>
        <x:v>8581.74</x:v>
      </x:c>
      <x:c r="K12" s="167"/>
      <x:c r="L12" s="167"/>
      <x:c r="M12" s="167"/>
      <x:c r="N12" s="167"/>
      <x:c r="O12" s="167"/>
      <x:c r="P12" s="167"/>
      <x:c r="Q12" s="167"/>
    </x:row>
    <x:row r="13">
      <x:c r="A13" s="22" t="str">
        <x:v>Leather and related products</x:v>
      </x:c>
      <x:c r="B13" s="22" t="str">
        <x:v>No</x:v>
      </x:c>
      <x:c r="C13" s="170" t="n">
        <x:v>41.66</x:v>
      </x:c>
      <x:c r="D13" s="170" t="n">
        <x:v>77.5</x:v>
      </x:c>
      <x:c r="E13" s="170" t="n">
        <x:v>53.16</x:v>
      </x:c>
      <x:c r="F13" s="182" t="n">
        <x:f>E13/SUM($E$6:$E$39)</x:f>
        <x:v>0.00025252784361743</x:v>
      </x:c>
      <x:c r="G13" s="182" t="n">
        <x:f>(E13/C13)^(1/2)-1</x:f>
        <x:v>0.129621249387037</x:v>
      </x:c>
      <x:c r="H13" s="167"/>
      <x:c r="I13" s="22" t="str">
        <x:v>Others</x:v>
      </x:c>
      <x:c r="J13" s="170" t="n">
        <x:f>E39</x:f>
        <x:v>6457.95</x:v>
      </x:c>
      <x:c r="K13" s="167"/>
      <x:c r="L13" s="167"/>
      <x:c r="M13" s="167"/>
      <x:c r="N13" s="167"/>
      <x:c r="O13" s="167"/>
      <x:c r="P13" s="167"/>
      <x:c r="Q13" s="167"/>
    </x:row>
    <x:row r="14">
      <x:c r="A14" s="22" t="str">
        <x:v>Wood and wood products</x:v>
      </x:c>
      <x:c r="B14" s="22" t="str">
        <x:v>No</x:v>
      </x:c>
      <x:c r="C14" s="170" t="n">
        <x:v>0.54</x:v>
      </x:c>
      <x:c r="D14" s="170" t="n">
        <x:v>0.64</x:v>
      </x:c>
      <x:c r="E14" s="170" t="n">
        <x:v>1.41</x:v>
      </x:c>
      <x:c r="F14" s="182" t="n">
        <x:f>E14/SUM($E$6:$E$39)</x:f>
        <x:v>0.000006697973278791879</x:v>
      </x:c>
      <x:c r="G14" s="182" t="n">
        <x:f>(E14/C14)^(1/2)-1</x:f>
        <x:v>0.6158932858054429</x:v>
      </x:c>
      <x:c r="H14" s="167"/>
      <x:c r="I14" s="22" t="str">
        <x:v>Education</x:v>
      </x:c>
      <x:c r="J14" s="170" t="n">
        <x:f>E36</x:f>
        <x:v>6332.45</x:v>
      </x:c>
      <x:c r="K14" s="167"/>
      <x:c r="L14" s="167"/>
      <x:c r="M14" s="167"/>
      <x:c r="N14" s="167"/>
      <x:c r="O14" s="167"/>
      <x:c r="P14" s="167"/>
      <x:c r="Q14" s="167"/>
    </x:row>
    <x:row r="15">
      <x:c r="A15" s="22" t="str">
        <x:v>Paper and paper products</x:v>
      </x:c>
      <x:c r="B15" s="22" t="str">
        <x:v>No</x:v>
      </x:c>
      <x:c r="C15" s="170" t="n">
        <x:v>382.19</x:v>
      </x:c>
      <x:c r="D15" s="170" t="n">
        <x:v>275.19</x:v>
      </x:c>
      <x:c r="E15" s="170" t="n">
        <x:v>496.42</x:v>
      </x:c>
      <x:c r="F15" s="182" t="n">
        <x:f>E15/SUM($E$6:$E$39)</x:f>
        <x:v>0.0023581616277006134</x:v>
      </x:c>
      <x:c r="G15" s="182" t="n">
        <x:f>(E15/C15)^(1/2)-1</x:f>
        <x:v>0.1396853752904037</x:v>
      </x:c>
      <x:c r="H15" s="167"/>
      <x:c r="I15" s="22" t="str">
        <x:v>Computer, electronic and optical products</x:v>
      </x:c>
      <x:c r="J15" s="170" t="n">
        <x:f>E23</x:f>
        <x:v>6100.88</x:v>
      </x:c>
      <x:c r="K15" s="167"/>
      <x:c r="L15" s="167"/>
      <x:c r="M15" s="167"/>
      <x:c r="N15" s="167"/>
      <x:c r="O15" s="167"/>
      <x:c r="P15" s="167"/>
      <x:c r="Q15" s="167"/>
    </x:row>
    <x:row r="16">
      <x:c r="A16" s="22" t="str">
        <x:v>Coke and refined petroleum products</x:v>
      </x:c>
      <x:c r="B16" s="22" t="str">
        <x:v>No</x:v>
      </x:c>
      <x:c r="C16" s="170" t="n">
        <x:v>3262.53</x:v>
      </x:c>
      <x:c r="D16" s="170" t="n">
        <x:v>3574.89</x:v>
      </x:c>
      <x:c r="E16" s="170" t="n">
        <x:v>4299.1</x:v>
      </x:c>
      <x:c r="F16" s="182" t="n">
        <x:f>E16/SUM($E$6:$E$39)</x:f>
        <x:v>0.02042216803039303</x:v>
      </x:c>
      <x:c r="G16" s="182" t="n">
        <x:f>(E16/C16)^(1/2)-1</x:f>
        <x:v>0.14791972010401233</x:v>
      </x:c>
      <x:c r="H16" s="167"/>
      <x:c r="I16" s="167"/>
      <x:c r="J16" s="167"/>
      <x:c r="K16" s="167"/>
      <x:c r="L16" s="167"/>
      <x:c r="M16" s="167"/>
      <x:c r="N16" s="167"/>
      <x:c r="O16" s="167"/>
      <x:c r="P16" s="167"/>
      <x:c r="Q16" s="167"/>
    </x:row>
    <x:row r="17">
      <x:c r="A17" s="22" t="str">
        <x:v>Chemicals and chemical products</x:v>
      </x:c>
      <x:c r="B17" s="22" t="str">
        <x:v>No</x:v>
      </x:c>
      <x:c r="C17" s="170" t="n">
        <x:v>3146.21</x:v>
      </x:c>
      <x:c r="D17" s="170" t="n">
        <x:v>3732.02</x:v>
      </x:c>
      <x:c r="E17" s="170" t="n">
        <x:v>4334.52</x:v>
      </x:c>
      <x:c r="F17" s="182" t="n">
        <x:f>E17/SUM($E$6:$E$39)</x:f>
        <x:v>0.02059042491942481</x:v>
      </x:c>
      <x:c r="G17" s="182" t="n">
        <x:f>(E17/C17)^(1/2)-1</x:f>
        <x:v>0.1737528290571715</x:v>
      </x:c>
      <x:c r="H17" s="167"/>
      <x:c r="I17" s="167"/>
      <x:c r="J17" s="167"/>
      <x:c r="K17" s="167"/>
      <x:c r="L17" s="167"/>
      <x:c r="M17" s="167"/>
      <x:c r="N17" s="167"/>
      <x:c r="O17" s="167"/>
      <x:c r="P17" s="167"/>
      <x:c r="Q17" s="167"/>
    </x:row>
    <x:row r="18">
      <x:c r="A18" s="22" t="str">
        <x:v>Basic pharmaceutical products and preparations</x:v>
      </x:c>
      <x:c r="B18" s="22" t="str">
        <x:v>No</x:v>
      </x:c>
      <x:c r="C18" s="170" t="n">
        <x:v>21964.7</x:v>
      </x:c>
      <x:c r="D18" s="170" t="n">
        <x:v>22128.42</x:v>
      </x:c>
      <x:c r="E18" s="170" t="n">
        <x:v>25501.54</x:v>
      </x:c>
      <x:c r="F18" s="182" t="n">
        <x:f>E18/SUM($E$6:$E$39)</x:f>
        <x:v>0.12114087481421437</x:v>
      </x:c>
      <x:c r="G18" s="182" t="n">
        <x:f>(E18/C18)^(1/2)-1</x:f>
        <x:v>0.07750815523191101</x:v>
      </x:c>
      <x:c r="H18" s="167"/>
      <x:c r="I18" s="167"/>
      <x:c r="J18" s="167"/>
      <x:c r="K18" s="167"/>
      <x:c r="L18" s="167"/>
      <x:c r="M18" s="167"/>
      <x:c r="N18" s="167"/>
      <x:c r="O18" s="167"/>
      <x:c r="P18" s="167"/>
      <x:c r="Q18" s="167"/>
    </x:row>
    <x:row r="19">
      <x:c r="A19" s="22" t="str">
        <x:v>Rubber and plastic products</x:v>
      </x:c>
      <x:c r="B19" s="22" t="str">
        <x:v>No</x:v>
      </x:c>
      <x:c r="C19" s="170" t="n">
        <x:v>962.93</x:v>
      </x:c>
      <x:c r="D19" s="170" t="n">
        <x:v>1175.02</x:v>
      </x:c>
      <x:c r="E19" s="170" t="n">
        <x:v>1194.45</x:v>
      </x:c>
      <x:c r="F19" s="182" t="n">
        <x:f>E19/SUM($E$6:$E$39)</x:f>
        <x:v>0.005674038427555291</x:v>
      </x:c>
      <x:c r="G19" s="182" t="n">
        <x:f>(E19/C19)^(1/2)-1</x:f>
        <x:v>0.1137472090137277</x:v>
      </x:c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</x:row>
    <x:row r="20">
      <x:c r="A20" s="22" t="str">
        <x:v>Other non-metallic mineral products</x:v>
      </x:c>
      <x:c r="B20" s="22" t="str">
        <x:v>No</x:v>
      </x:c>
      <x:c r="C20" s="170" t="n">
        <x:v>401.46</x:v>
      </x:c>
      <x:c r="D20" s="170" t="n">
        <x:v>60.52</x:v>
      </x:c>
      <x:c r="E20" s="170" t="n">
        <x:v>67.41</x:v>
      </x:c>
      <x:c r="F20" s="182" t="n">
        <x:f>E20/SUM($E$6:$E$39)</x:f>
        <x:v>0.00032022012675415645</x:v>
      </x:c>
      <x:c r="G20" s="182" t="n">
        <x:f>(E20/C20)^(1/2)-1</x:f>
        <x:v>-0.590229185081186</x:v>
      </x:c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</x:row>
    <x:row r="21">
      <x:c r="A21" s="22" t="str">
        <x:v>Basic metals</x:v>
      </x:c>
      <x:c r="B21" s="22" t="str">
        <x:v>No</x:v>
      </x:c>
      <x:c r="C21" s="170" t="n">
        <x:v>1221.81</x:v>
      </x:c>
      <x:c r="D21" s="170" t="n">
        <x:v>1044.79</x:v>
      </x:c>
      <x:c r="E21" s="170" t="n">
        <x:v>892.98</x:v>
      </x:c>
      <x:c r="F21" s="182" t="n">
        <x:f>E21/SUM($E$6:$E$39)</x:f>
        <x:v>0.004241954736521683</x:v>
      </x:c>
      <x:c r="G21" s="182" t="n">
        <x:f>(E21/C21)^(1/2)-1</x:f>
        <x:v>-0.14509269430061678</x:v>
      </x:c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</x:row>
    <x:row r="22">
      <x:c r="A22" s="22" t="str">
        <x:v>Fabricated metal products</x:v>
      </x:c>
      <x:c r="B22" s="22" t="str">
        <x:v>No</x:v>
      </x:c>
      <x:c r="C22" s="170" t="n">
        <x:v>312.94</x:v>
      </x:c>
      <x:c r="D22" s="170" t="n">
        <x:v>349.03</x:v>
      </x:c>
      <x:c r="E22" s="170" t="n">
        <x:v>426.68</x:v>
      </x:c>
      <x:c r="F22" s="182" t="n">
        <x:f>E22/SUM($E$6:$E$39)</x:f>
        <x:v>0.0020268732188616447</x:v>
      </x:c>
      <x:c r="G22" s="182" t="n">
        <x:f>(E22/C22)^(1/2)-1</x:f>
        <x:v>0.1676712951832542</x:v>
      </x:c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</x:row>
    <x:row r="23">
      <x:c r="A23" s="22" t="str">
        <x:v>Computer, electronic and optical products</x:v>
      </x:c>
      <x:c r="B23" s="22" t="str">
        <x:v>No</x:v>
      </x:c>
      <x:c r="C23" s="170" t="n">
        <x:v>3692.14</x:v>
      </x:c>
      <x:c r="D23" s="170" t="n">
        <x:v>4744.58</x:v>
      </x:c>
      <x:c r="E23" s="170" t="n">
        <x:v>6100.88</x:v>
      </x:c>
      <x:c r="F23" s="182" t="n">
        <x:f>E23/SUM($E$6:$E$39)</x:f>
        <x:v>0.028981227813557307</x:v>
      </x:c>
      <x:c r="G23" s="182" t="n">
        <x:f>(E23/C23)^(1/2)-1</x:f>
        <x:v>0.2854558386103285</x:v>
      </x:c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</x:row>
    <x:row r="24">
      <x:c r="A24" s="22" t="str">
        <x:v>Electrical equipment</x:v>
      </x:c>
      <x:c r="B24" s="22" t="str">
        <x:v>No</x:v>
      </x:c>
      <x:c r="C24" s="170" t="n">
        <x:v>1639.86</x:v>
      </x:c>
      <x:c r="D24" s="170" t="n">
        <x:v>2200.43</x:v>
      </x:c>
      <x:c r="E24" s="170" t="n">
        <x:v>2658.1</x:v>
      </x:c>
      <x:c r="F24" s="182" t="n">
        <x:f>E24/SUM($E$6:$E$39)</x:f>
        <x:v>0.012626867214437372</x:v>
      </x:c>
      <x:c r="G24" s="182" t="n">
        <x:f>(E24/C24)^(1/2)-1</x:f>
        <x:v>0.27315790658113914</x:v>
      </x:c>
      <x:c r="H24" s="167"/>
      <x:c r="I24" s="173" t="str">
        <x:v>Source: NSTMIS/DST, S&amp;T Indicators Tables 2025-26, Table 18. Higher education is excluded from the source activity table, and the named strategic activity is omitted from this profile. Shares therefore refer to the displayed non-strategic activity subtotal, not GERD or the full source-table total.</x:v>
      </x:c>
      <x:c r="J24" s="174"/>
      <x:c r="K24" s="174"/>
      <x:c r="L24" s="174"/>
      <x:c r="M24" s="174"/>
      <x:c r="N24" s="174"/>
      <x:c r="O24" s="174"/>
      <x:c r="P24" s="174"/>
      <x:c r="Q24" s="175"/>
    </x:row>
    <x:row r="25">
      <x:c r="A25" s="22" t="str">
        <x:v>Machinery and equipment n.e.c.</x:v>
      </x:c>
      <x:c r="B25" s="22" t="str">
        <x:v>No</x:v>
      </x:c>
      <x:c r="C25" s="170" t="n">
        <x:v>2598.23</x:v>
      </x:c>
      <x:c r="D25" s="170" t="n">
        <x:v>2826.59</x:v>
      </x:c>
      <x:c r="E25" s="170" t="n">
        <x:v>2989.35</x:v>
      </x:c>
      <x:c r="F25" s="182" t="n">
        <x:f>E25/SUM($E$6:$E$39)</x:f>
        <x:v>0.014200415901387592</x:v>
      </x:c>
      <x:c r="G25" s="182" t="n">
        <x:f>(E25/C25)^(1/2)-1</x:f>
        <x:v>0.07262912865256754</x:v>
      </x:c>
      <x:c r="H25" s="167"/>
      <x:c r="I25" s="176"/>
      <x:c r="J25" s="177"/>
      <x:c r="K25" s="177"/>
      <x:c r="L25" s="177"/>
      <x:c r="M25" s="177"/>
      <x:c r="N25" s="177"/>
      <x:c r="O25" s="177"/>
      <x:c r="P25" s="177"/>
      <x:c r="Q25" s="178"/>
    </x:row>
    <x:row r="26">
      <x:c r="A26" s="22" t="str">
        <x:v>Motor vehicles, trailers and semi-trailers</x:v>
      </x:c>
      <x:c r="B26" s="22" t="str">
        <x:v>No</x:v>
      </x:c>
      <x:c r="C26" s="170" t="n">
        <x:v>8865.69</x:v>
      </x:c>
      <x:c r="D26" s="170" t="n">
        <x:v>7350.07</x:v>
      </x:c>
      <x:c r="E26" s="170" t="n">
        <x:v>8581.74</x:v>
      </x:c>
      <x:c r="F26" s="182" t="n">
        <x:f>E26/SUM($E$6:$E$39)</x:f>
        <x:v>0.04076614553584356</x:v>
      </x:c>
      <x:c r="G26" s="182" t="n">
        <x:f>(E26/C26)^(1/2)-1</x:f>
        <x:v>-0.01614430122222643</x:v>
      </x:c>
      <x:c r="H26" s="167"/>
      <x:c r="I26" s="176"/>
      <x:c r="J26" s="177"/>
      <x:c r="K26" s="177"/>
      <x:c r="L26" s="177"/>
      <x:c r="M26" s="177"/>
      <x:c r="N26" s="177"/>
      <x:c r="O26" s="177"/>
      <x:c r="P26" s="177"/>
      <x:c r="Q26" s="178"/>
    </x:row>
    <x:row r="27">
      <x:c r="A27" s="22" t="str">
        <x:v>Other transport equipment</x:v>
      </x:c>
      <x:c r="B27" s="22" t="str">
        <x:v>No</x:v>
      </x:c>
      <x:c r="C27" s="170" t="n">
        <x:v>969.62</x:v>
      </x:c>
      <x:c r="D27" s="170" t="n">
        <x:v>1082.7</x:v>
      </x:c>
      <x:c r="E27" s="170" t="n">
        <x:v>1348.53</x:v>
      </x:c>
      <x:c r="F27" s="182" t="n">
        <x:f>E27/SUM($E$6:$E$39)</x:f>
        <x:v>0.006405970145850506</x:v>
      </x:c>
      <x:c r="G27" s="182" t="n">
        <x:f>(E27/C27)^(1/2)-1</x:f>
        <x:v>0.1793141887630043</x:v>
      </x:c>
      <x:c r="H27" s="167"/>
      <x:c r="I27" s="176"/>
      <x:c r="J27" s="177"/>
      <x:c r="K27" s="177"/>
      <x:c r="L27" s="177"/>
      <x:c r="M27" s="177"/>
      <x:c r="N27" s="177"/>
      <x:c r="O27" s="177"/>
      <x:c r="P27" s="177"/>
      <x:c r="Q27" s="178"/>
    </x:row>
    <x:row r="28">
      <x:c r="A28" s="22" t="str">
        <x:v>Furniture</x:v>
      </x:c>
      <x:c r="B28" s="22" t="str">
        <x:v>No</x:v>
      </x:c>
      <x:c r="C28" s="170" t="n">
        <x:v>0.15</x:v>
      </x:c>
      <x:c r="D28" s="170" t="n">
        <x:v>0.15</x:v>
      </x:c>
      <x:c r="E28" s="170" t="n">
        <x:v>0.15</x:v>
      </x:c>
      <x:c r="F28" s="182" t="n">
        <x:f>E28/SUM($E$6:$E$39)</x:f>
        <x:v>7.125503488076467e-7</x:v>
      </x:c>
      <x:c r="G28" s="182" t="n">
        <x:f>(E28/C28)^(1/2)-1</x:f>
        <x:v>0</x:v>
      </x:c>
      <x:c r="H28" s="167"/>
      <x:c r="I28" s="179"/>
      <x:c r="J28" s="180"/>
      <x:c r="K28" s="180"/>
      <x:c r="L28" s="180"/>
      <x:c r="M28" s="180"/>
      <x:c r="N28" s="180"/>
      <x:c r="O28" s="180"/>
      <x:c r="P28" s="180"/>
      <x:c r="Q28" s="181"/>
    </x:row>
    <x:row r="29">
      <x:c r="A29" s="22" t="str">
        <x:v>Other manufacturing</x:v>
      </x:c>
      <x:c r="B29" s="22" t="str">
        <x:v>No</x:v>
      </x:c>
      <x:c r="C29" s="170" t="n">
        <x:v>1780.84</x:v>
      </x:c>
      <x:c r="D29" s="170" t="n">
        <x:v>1935.71</x:v>
      </x:c>
      <x:c r="E29" s="170" t="n">
        <x:v>2367.8</x:v>
      </x:c>
      <x:c r="F29" s="182" t="n">
        <x:f>E29/SUM($E$6:$E$39)</x:f>
        <x:v>0.011247844772711641</x:v>
      </x:c>
      <x:c r="G29" s="182" t="n">
        <x:f>(E29/C29)^(1/2)-1</x:f>
        <x:v>0.15308164008653624</x:v>
      </x:c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</x:row>
    <x:row r="30">
      <x:c r="A30" s="22" t="str">
        <x:v>Repair and installation of machinery</x:v>
      </x:c>
      <x:c r="B30" s="22" t="str">
        <x:v>No</x:v>
      </x:c>
      <x:c r="C30" s="170" t="n">
        <x:v>0.3</x:v>
      </x:c>
      <x:c r="D30" s="170" t="n">
        <x:v>0.32</x:v>
      </x:c>
      <x:c r="E30" s="170" t="n">
        <x:v>0.34</x:v>
      </x:c>
      <x:c r="F30" s="182" t="n">
        <x:f>E30/SUM($E$6:$E$39)</x:f>
        <x:v>0.0000016151141239639994</x:v>
      </x:c>
      <x:c r="G30" s="182" t="n">
        <x:f>(E30/C30)^(1/2)-1</x:f>
        <x:v>0.06458129484475417</x:v>
      </x:c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</x:row>
    <x:row r="31">
      <x:c r="A31" s="22" t="str">
        <x:v>Electricity, gas, steam and air conditioning supply</x:v>
      </x:c>
      <x:c r="B31" s="22" t="str">
        <x:v>No</x:v>
      </x:c>
      <x:c r="C31" s="170" t="n">
        <x:v>4554.66</x:v>
      </x:c>
      <x:c r="D31" s="170" t="n">
        <x:v>4653.75</x:v>
      </x:c>
      <x:c r="E31" s="170" t="n">
        <x:v>4787.75</x:v>
      </x:c>
      <x:c r="F31" s="182" t="n">
        <x:f>E31/SUM($E$6:$E$39)</x:f>
        <x:v>0.022743419550025405</x:v>
      </x:c>
      <x:c r="G31" s="182" t="n">
        <x:f>(E31/C31)^(1/2)-1</x:f>
        <x:v>0.025268822331357077</x:v>
      </x:c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</x:row>
    <x:row r="32">
      <x:c r="A32" s="22" t="str">
        <x:v>Water, sewerage, waste management and remediation</x:v>
      </x:c>
      <x:c r="B32" s="22" t="str">
        <x:v>No</x:v>
      </x:c>
      <x:c r="C32" s="170" t="n">
        <x:v>8.02</x:v>
      </x:c>
      <x:c r="D32" s="170" t="n">
        <x:v>9.4</x:v>
      </x:c>
      <x:c r="E32" s="170" t="n">
        <x:v>11</x:v>
      </x:c>
      <x:c r="F32" s="182" t="n">
        <x:f>E32/SUM($E$6:$E$39)</x:f>
        <x:v>0.000052253692245894094</x:v>
      </x:c>
      <x:c r="G32" s="182" t="n">
        <x:f>(E32/C32)^(1/2)-1</x:f>
        <x:v>0.17114092760828825</x:v>
      </x:c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</x:row>
    <x:row r="33">
      <x:c r="A33" s="22" t="str">
        <x:v>Construction</x:v>
      </x:c>
      <x:c r="B33" s="22" t="str">
        <x:v>No</x:v>
      </x:c>
      <x:c r="C33" s="170" t="n">
        <x:v>237.82</x:v>
      </x:c>
      <x:c r="D33" s="170" t="n">
        <x:v>273.76</x:v>
      </x:c>
      <x:c r="E33" s="170" t="n">
        <x:v>331.9</x:v>
      </x:c>
      <x:c r="F33" s="182" t="n">
        <x:f>E33/SUM($E$6:$E$39)</x:f>
        <x:v>0.0015766364051283863</x:v>
      </x:c>
      <x:c r="G33" s="182" t="n">
        <x:f>(E33/C33)^(1/2)-1</x:f>
        <x:v>0.18135232080085917</x:v>
      </x:c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</x:row>
    <x:row r="34">
      <x:c r="A34" s="22" t="str">
        <x:v>Transportation and storage</x:v>
      </x:c>
      <x:c r="B34" s="22" t="str">
        <x:v>No</x:v>
      </x:c>
      <x:c r="C34" s="170" t="n">
        <x:v>15599.55</x:v>
      </x:c>
      <x:c r="D34" s="170" t="n">
        <x:v>20706.21</x:v>
      </x:c>
      <x:c r="E34" s="170" t="n">
        <x:v>29861.78</x:v>
      </x:c>
      <x:c r="F34" s="182" t="n">
        <x:f>E34/SUM($E$6:$E$39)</x:f>
        <x:v>0.1418534783667814</x:v>
      </x:c>
      <x:c r="G34" s="182" t="n">
        <x:f>(E34/C34)^(1/2)-1</x:f>
        <x:v>0.38357214703389975</x:v>
      </x:c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</x:row>
    <x:row r="35">
      <x:c r="A35" s="22" t="str">
        <x:v>Professional, scientific and technical activities</x:v>
      </x:c>
      <x:c r="B35" s="22" t="str">
        <x:v>No</x:v>
      </x:c>
      <x:c r="C35" s="170" t="n">
        <x:v>48311.18</x:v>
      </x:c>
      <x:c r="D35" s="170" t="n">
        <x:v>50374.32</x:v>
      </x:c>
      <x:c r="E35" s="170" t="n">
        <x:v>54935.75</x:v>
      </x:c>
      <x:c r="F35" s="182" t="n">
        <x:f>E35/SUM($E$6:$E$39)</x:f>
        <x:v>0.2609632521633979</x:v>
      </x:c>
      <x:c r="G35" s="182" t="n">
        <x:f>(E35/C35)^(1/2)-1</x:f>
        <x:v>0.06635965721982195</x:v>
      </x:c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</x:row>
    <x:row r="36">
      <x:c r="A36" s="22" t="str">
        <x:v>Education</x:v>
      </x:c>
      <x:c r="B36" s="22" t="str">
        <x:v>No</x:v>
      </x:c>
      <x:c r="C36" s="170" t="n">
        <x:v>4833.19</x:v>
      </x:c>
      <x:c r="D36" s="170" t="n">
        <x:v>5556.16</x:v>
      </x:c>
      <x:c r="E36" s="170" t="n">
        <x:v>6332.45</x:v>
      </x:c>
      <x:c r="F36" s="182" t="n">
        <x:f>E36/SUM($E$6:$E$39)</x:f>
        <x:v>0.03008126304204655</x:v>
      </x:c>
      <x:c r="G36" s="182" t="n">
        <x:f>(E36/C36)^(1/2)-1</x:f>
        <x:v>0.1446400845679796</x:v>
      </x:c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</x:row>
    <x:row r="37">
      <x:c r="A37" s="22" t="str">
        <x:v>Human health and social work</x:v>
      </x:c>
      <x:c r="B37" s="22" t="str">
        <x:v>No</x:v>
      </x:c>
      <x:c r="C37" s="170" t="n">
        <x:v>14222.73</x:v>
      </x:c>
      <x:c r="D37" s="170" t="n">
        <x:v>17219.26</x:v>
      </x:c>
      <x:c r="E37" s="170" t="n">
        <x:v>16662.45</x:v>
      </x:c>
      <x:c r="F37" s="182" t="n">
        <x:f>E37/SUM($E$6:$E$39)</x:f>
        <x:v>0.07915223039659983</x:v>
      </x:c>
      <x:c r="G37" s="182" t="n">
        <x:f>(E37/C37)^(1/2)-1</x:f>
        <x:v>0.08237548387987004</x:v>
      </x:c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</x:row>
    <x:row r="38">
      <x:c r="A38" s="22" t="str">
        <x:v>Other service activities (NIC 90)</x:v>
      </x:c>
      <x:c r="B38" s="22" t="str">
        <x:v>No</x:v>
      </x:c>
      <x:c r="C38" s="170" t="n">
        <x:v>5231.87</x:v>
      </x:c>
      <x:c r="D38" s="170" t="n">
        <x:v>6014.36</x:v>
      </x:c>
      <x:c r="E38" s="170" t="n">
        <x:v>8926.8</x:v>
      </x:c>
      <x:c r="F38" s="182" t="n">
        <x:f>E38/SUM($E$6:$E$39)</x:f>
        <x:v>0.04240529635824067</x:v>
      </x:c>
      <x:c r="G38" s="182" t="n">
        <x:f>(E38/C38)^(1/2)-1</x:f>
        <x:v>0.30622932731379016</x:v>
      </x:c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</x:row>
    <x:row r="39">
      <x:c r="A39" s="22" t="str">
        <x:v>Others</x:v>
      </x:c>
      <x:c r="B39" s="22" t="str">
        <x:v>No</x:v>
      </x:c>
      <x:c r="C39" s="170" t="n">
        <x:v>5981.51</x:v>
      </x:c>
      <x:c r="D39" s="170" t="n">
        <x:v>5992.76</x:v>
      </x:c>
      <x:c r="E39" s="170" t="n">
        <x:v>6457.95</x:v>
      </x:c>
      <x:c r="F39" s="182" t="n">
        <x:f>E39/SUM($E$6:$E$39)</x:f>
        <x:v>0.030677430167215615</x:v>
      </x:c>
      <x:c r="G39" s="182" t="n">
        <x:f>(E39/C39)^(1/2)-1</x:f>
        <x:v>0.039063101055164084</x:v>
      </x:c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</x:row>
  </x:sheetData>
  <x:mergeCells>
    <x:mergeCell ref="A1:Q2"/>
    <x:mergeCell ref="A3:Q3"/>
    <x:mergeCell ref="I24:Q28"/>
  </x:mergeCells>
  <x:pageMargins left="0.7" right="0.7" top="0.75" bottom="0.75" header="0.3" footer="0.3"/>
  <x:drawing xmlns:r="http://schemas.openxmlformats.org/officeDocument/2006/relationships" r:id="R4f193036d626421a"/>
  <x:tableParts count="1">
    <x:tablePart xmlns:r="http://schemas.openxmlformats.org/officeDocument/2006/relationships" r:id="R10cfca3cbfa449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6" max="6" width="32" hidden="0" customWidth="1"/>
    <x:col min="1" max="1" width="15" hidden="0" customWidth="1"/>
    <x:col min="2" max="2" width="32" hidden="0" customWidth="1"/>
    <x:col min="3" max="3" width="36" hidden="0" customWidth="1"/>
    <x:col min="4" max="4" width="32" hidden="0" customWidth="1"/>
    <x:col min="5" max="5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</x:cols>
  <x:sheetData>
    <x:row r="1" ht="26" customHeight="1">
      <x:c r="A1" s="150" t="str">
        <x:v>Funding-source evidence and reconstruction limits</x:v>
      </x:c>
      <x:c r="B1" s="150"/>
      <x:c r="C1" s="150"/>
      <x:c r="D1" s="150"/>
      <x:c r="E1" s="150"/>
      <x:c r="F1" s="150"/>
      <x:c r="G1" s="150"/>
      <x:c r="H1" s="150"/>
      <x:c r="I1" s="150"/>
      <x:c r="J1" s="150"/>
    </x:row>
    <x:row r="2" ht="26" customHeight="1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</x:row>
    <x:row r="3" ht="34" customHeight="1">
      <x:c r="A3" s="151" t="str">
        <x:v>Strict main answer first; exploratory ownership proxy and observable cross-sector flows second.</x:v>
      </x:c>
      <x:c r="B3" s="151"/>
      <x:c r="C3" s="151"/>
      <x:c r="D3" s="151"/>
      <x:c r="E3" s="151"/>
      <x:c r="F3" s="151"/>
      <x:c r="G3" s="151"/>
      <x:c r="H3" s="151"/>
      <x:c r="I3" s="151"/>
      <x:c r="J3" s="151"/>
    </x:row>
    <x:row r="4">
      <x:c r="A4" s="167"/>
      <x:c r="B4" s="167"/>
      <x:c r="C4" s="167"/>
      <x:c r="D4" s="167"/>
      <x:c r="E4" s="167"/>
      <x:c r="F4" s="167"/>
      <x:c r="G4" s="167"/>
      <x:c r="H4" s="167"/>
      <x:c r="I4" s="167"/>
      <x:c r="J4" s="167"/>
    </x:row>
    <x:row r="5">
      <x:c r="A5" s="168" t="str">
        <x:v>1. Strict finding</x:v>
      </x:c>
      <x:c r="B5" s="168"/>
      <x:c r="C5" s="168"/>
      <x:c r="D5" s="168"/>
      <x:c r="E5" s="168"/>
      <x:c r="F5" s="168"/>
      <x:c r="G5" s="168"/>
      <x:c r="H5" s="168"/>
      <x:c r="I5" s="168"/>
      <x:c r="J5" s="168"/>
    </x:row>
    <x:row r="6">
      <x:c r="A6" s="187" t="str">
        <x:v>No comprehensive, recent matrix of GERD by ultimate source of funds (government, business, foreign, higher education, private non-profit) is published for India for FY2019-20–FY2023-24 in the latest DST statistical tables. The public/private split that can be reported exactly is the ownership of performing sectors, not the source of financing. International source-of-funds series checked in UNdata are stale and do not supply the requested India observations.</x:v>
      </x:c>
      <x:c r="B6" s="188"/>
      <x:c r="C6" s="188"/>
      <x:c r="D6" s="188"/>
      <x:c r="E6" s="188"/>
      <x:c r="F6" s="188"/>
      <x:c r="G6" s="188"/>
      <x:c r="H6" s="188"/>
      <x:c r="I6" s="188"/>
      <x:c r="J6" s="189"/>
    </x:row>
    <x:row r="7">
      <x:c r="A7" s="190"/>
      <x:c r="B7" s="191"/>
      <x:c r="C7" s="191"/>
      <x:c r="D7" s="191"/>
      <x:c r="E7" s="191"/>
      <x:c r="F7" s="191"/>
      <x:c r="G7" s="191"/>
      <x:c r="H7" s="191"/>
      <x:c r="I7" s="191"/>
      <x:c r="J7" s="192"/>
    </x:row>
    <x:row r="8">
      <x:c r="A8" s="190"/>
      <x:c r="B8" s="191"/>
      <x:c r="C8" s="191"/>
      <x:c r="D8" s="191"/>
      <x:c r="E8" s="191"/>
      <x:c r="F8" s="191"/>
      <x:c r="G8" s="191"/>
      <x:c r="H8" s="191"/>
      <x:c r="I8" s="191"/>
      <x:c r="J8" s="192"/>
    </x:row>
    <x:row r="9">
      <x:c r="A9" s="190"/>
      <x:c r="B9" s="191"/>
      <x:c r="C9" s="191"/>
      <x:c r="D9" s="191"/>
      <x:c r="E9" s="191"/>
      <x:c r="F9" s="191"/>
      <x:c r="G9" s="191"/>
      <x:c r="H9" s="191"/>
      <x:c r="I9" s="191"/>
      <x:c r="J9" s="192"/>
    </x:row>
    <x:row r="10">
      <x:c r="A10" s="193"/>
      <x:c r="B10" s="194"/>
      <x:c r="C10" s="194"/>
      <x:c r="D10" s="194"/>
      <x:c r="E10" s="194"/>
      <x:c r="F10" s="194"/>
      <x:c r="G10" s="194"/>
      <x:c r="H10" s="194"/>
      <x:c r="I10" s="194"/>
      <x:c r="J10" s="195"/>
    </x:row>
    <x:row r="11">
      <x:c r="A11" s="167"/>
      <x:c r="B11" s="167"/>
      <x:c r="C11" s="167"/>
      <x:c r="D11" s="167"/>
      <x:c r="E11" s="167"/>
      <x:c r="F11" s="167"/>
      <x:c r="G11" s="167"/>
      <x:c r="H11" s="167"/>
      <x:c r="I11" s="167"/>
      <x:c r="J11" s="167"/>
    </x:row>
    <x:row r="12">
      <x:c r="A12" s="168" t="str">
        <x:v>2. Exact observable proxy: ownership of performers</x:v>
      </x:c>
      <x:c r="B12" s="168"/>
      <x:c r="C12" s="168"/>
      <x:c r="D12" s="168"/>
      <x:c r="E12" s="168"/>
      <x:c r="F12" s="168"/>
      <x:c r="G12" s="168"/>
      <x:c r="H12" s="168"/>
      <x:c r="I12" s="168"/>
      <x:c r="J12" s="168"/>
    </x:row>
    <x:row r="13">
      <x:c r="A13" s="154" t="str">
        <x:v>FY</x:v>
      </x:c>
      <x:c r="B13" s="154" t="str">
        <x:v>Public-owned performers</x:v>
      </x:c>
      <x:c r="C13" s="154" t="str">
        <x:v>Private-owned performers</x:v>
      </x:c>
      <x:c r="D13" s="154" t="str">
        <x:v>Proxy status</x:v>
      </x:c>
      <x:c r="E13" s="167"/>
      <x:c r="F13" s="167"/>
      <x:c r="G13" s="167"/>
      <x:c r="H13" s="167"/>
      <x:c r="I13" s="167"/>
      <x:c r="J13" s="167"/>
    </x:row>
    <x:row r="14">
      <x:c r="A14" s="22" t="str">
        <x:v>2019-20</x:v>
      </x:c>
      <x:c r="B14" s="170" t="n">
        <x:v>87813.47</x:v>
      </x:c>
      <x:c r="C14" s="170" t="n">
        <x:v>44753.54</x:v>
      </x:c>
      <x:c r="D14" s="22" t="str">
        <x:v>Exact published ownership proxy; not funding source</x:v>
      </x:c>
      <x:c r="E14" s="167"/>
      <x:c r="F14" s="167"/>
      <x:c r="G14" s="167"/>
      <x:c r="H14" s="167"/>
      <x:c r="I14" s="167"/>
      <x:c r="J14" s="167"/>
    </x:row>
    <x:row r="15">
      <x:c r="A15" s="22" t="str">
        <x:v>2020-21</x:v>
      </x:c>
      <x:c r="B15" s="170" t="n">
        <x:v>80992.83</x:v>
      </x:c>
      <x:c r="C15" s="170" t="n">
        <x:v>46388.13</x:v>
      </x:c>
      <x:c r="D15" s="22" t="str">
        <x:v>Exact published ownership proxy; not funding source</x:v>
      </x:c>
      <x:c r="E15" s="167"/>
      <x:c r="F15" s="167"/>
      <x:c r="G15" s="167"/>
      <x:c r="H15" s="167"/>
      <x:c r="I15" s="167"/>
      <x:c r="J15" s="167"/>
    </x:row>
    <x:row r="16">
      <x:c r="A16" s="22" t="str">
        <x:v>2021-22</x:v>
      </x:c>
      <x:c r="B16" s="170" t="n">
        <x:v>106133.32</x:v>
      </x:c>
      <x:c r="C16" s="170" t="n">
        <x:v>88677.51</x:v>
      </x:c>
      <x:c r="D16" s="22" t="str">
        <x:v>Exact published ownership proxy; not funding source</x:v>
      </x:c>
      <x:c r="E16" s="167"/>
      <x:c r="F16" s="167"/>
      <x:c r="G16" s="167"/>
      <x:c r="H16" s="167"/>
      <x:c r="I16" s="167"/>
      <x:c r="J16" s="167"/>
    </x:row>
    <x:row r="17">
      <x:c r="A17" s="22" t="str">
        <x:v>2022-23</x:v>
      </x:c>
      <x:c r="B17" s="170" t="n">
        <x:v>110949.77</x:v>
      </x:c>
      <x:c r="C17" s="170" t="n">
        <x:v>102428.35</x:v>
      </x:c>
      <x:c r="D17" s="22" t="str">
        <x:v>Exact published ownership proxy; not funding source</x:v>
      </x:c>
      <x:c r="E17" s="167"/>
      <x:c r="F17" s="167"/>
      <x:c r="G17" s="167"/>
      <x:c r="H17" s="167"/>
      <x:c r="I17" s="167"/>
      <x:c r="J17" s="167"/>
    </x:row>
    <x:row r="18">
      <x:c r="A18" s="22" t="str">
        <x:v>2023-24</x:v>
      </x:c>
      <x:c r="B18" s="170" t="n">
        <x:v>117861.21</x:v>
      </x:c>
      <x:c r="C18" s="170" t="n">
        <x:v>126906.6</x:v>
      </x:c>
      <x:c r="D18" s="22" t="str">
        <x:v>Exact published ownership proxy; not funding source</x:v>
      </x:c>
      <x:c r="E18" s="167"/>
      <x:c r="F18" s="167"/>
      <x:c r="G18" s="167"/>
      <x:c r="H18" s="167"/>
      <x:c r="I18" s="167"/>
      <x:c r="J18" s="167"/>
    </x:row>
    <x:row r="19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</x:row>
    <x:row r="20">
      <x:c r="A20" s="168" t="str">
        <x:v>3. Partial observable cross-sector flows</x:v>
      </x:c>
      <x:c r="B20" s="168"/>
      <x:c r="C20" s="168"/>
      <x:c r="D20" s="168"/>
      <x:c r="E20" s="168"/>
      <x:c r="F20" s="168"/>
      <x:c r="G20" s="168"/>
      <x:c r="H20" s="168"/>
      <x:c r="I20" s="168"/>
      <x:c r="J20" s="168"/>
    </x:row>
    <x:row r="21">
      <x:c r="A21" s="154" t="str">
        <x:v>FY</x:v>
      </x:c>
      <x:c r="B21" s="154" t="str">
        <x:v>Approved central extramural project cost</x:v>
      </x:c>
      <x:c r="C21" s="154" t="str">
        <x:v>Share of GERD</x:v>
      </x:c>
      <x:c r="D21" s="154" t="str">
        <x:v>Academic recipients</x:v>
      </x:c>
      <x:c r="E21" s="154" t="str">
        <x:v>National-lab recipients</x:v>
      </x:c>
      <x:c r="F21" s="154" t="str">
        <x:v>Limit</x:v>
      </x:c>
      <x:c r="G21" s="167"/>
      <x:c r="H21" s="167"/>
      <x:c r="I21" s="167"/>
      <x:c r="J21" s="167"/>
    </x:row>
    <x:row r="22">
      <x:c r="A22" s="22" t="str">
        <x:v>2019-20</x:v>
      </x:c>
      <x:c r="B22" s="170" t="n">
        <x:v>2529.42</x:v>
      </x:c>
      <x:c r="C22" s="182" t="n">
        <x:v>0.019</x:v>
      </x:c>
      <x:c r="D22" s="182" t="n">
        <x:v>0.7</x:v>
      </x:c>
      <x:c r="E22" s="182"/>
      <x:c r="F22" s="22" t="str">
        <x:v>Approved project cost; not necessarily same-year expenditure; partial central-agency coverage</x:v>
      </x:c>
      <x:c r="G22" s="167"/>
      <x:c r="H22" s="167"/>
      <x:c r="I22" s="167"/>
      <x:c r="J22" s="167"/>
    </x:row>
    <x:row r="23">
      <x:c r="A23" s="22" t="str">
        <x:v>2020-21</x:v>
      </x:c>
      <x:c r="B23" s="170" t="n">
        <x:v>2002.7</x:v>
      </x:c>
      <x:c r="C23" s="182"/>
      <x:c r="D23" s="182"/>
      <x:c r="E23" s="182"/>
      <x:c r="F23" s="22" t="str">
        <x:v>Approved project cost; not necessarily same-year expenditure; partial central-agency coverage</x:v>
      </x:c>
      <x:c r="G23" s="167"/>
      <x:c r="H23" s="167"/>
      <x:c r="I23" s="167"/>
      <x:c r="J23" s="167"/>
    </x:row>
    <x:row r="24">
      <x:c r="A24" s="22" t="str">
        <x:v>2023-24</x:v>
      </x:c>
      <x:c r="B24" s="170" t="n">
        <x:v>3356.36</x:v>
      </x:c>
      <x:c r="C24" s="182" t="n">
        <x:v>0.013999999999999999</x:v>
      </x:c>
      <x:c r="D24" s="182" t="n">
        <x:v>0.73</x:v>
      </x:c>
      <x:c r="E24" s="182" t="n">
        <x:v>0.2</x:v>
      </x:c>
      <x:c r="F24" s="22" t="str">
        <x:v>Approved project cost; not necessarily same-year expenditure; partial central-agency coverage</x:v>
      </x:c>
      <x:c r="G24" s="167"/>
      <x:c r="H24" s="167"/>
      <x:c r="I24" s="167"/>
      <x:c r="J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</x:row>
    <x:row r="27">
      <x:c r="A27" s="168" t="str">
        <x:v>4. Exploratory reconstruction appendix — identification framework</x:v>
      </x:c>
      <x:c r="B27" s="168"/>
      <x:c r="C27" s="168"/>
      <x:c r="D27" s="168"/>
      <x:c r="E27" s="168"/>
      <x:c r="F27" s="168"/>
      <x:c r="G27" s="168"/>
      <x:c r="H27" s="168"/>
      <x:c r="I27" s="168"/>
      <x:c r="J27" s="168"/>
    </x:row>
    <x:row r="28">
      <x:c r="A28" s="154" t="str">
        <x:v>Step</x:v>
      </x:c>
      <x:c r="B28" s="154" t="str">
        <x:v>Observable</x:v>
      </x:c>
      <x:c r="C28" s="154" t="str">
        <x:v>Potential use</x:v>
      </x:c>
      <x:c r="D28" s="154" t="str">
        <x:v>Why no point estimate is published</x:v>
      </x:c>
      <x:c r="E28" s="154"/>
      <x:c r="F28" s="154"/>
      <x:c r="G28" s="154"/>
      <x:c r="H28" s="154"/>
      <x:c r="I28" s="154"/>
      <x:c r="J28" s="154"/>
    </x:row>
    <x:row r="29">
      <x:c r="A29" s="22" t="str">
        <x:v>A</x:v>
      </x:c>
      <x:c r="B29" s="22" t="str">
        <x:v>Ownership proxy by performer</x:v>
      </x:c>
      <x:c r="C29" s="22" t="str">
        <x:v>Upper-level public/private performance lens</x:v>
      </x:c>
      <x:c r="D29" s="22" t="str">
        <x:v>Government can fund private/academic performers; business can fund public/academic performers</x:v>
      </x:c>
      <x:c r="E29" s="22"/>
      <x:c r="F29" s="22"/>
      <x:c r="G29" s="22"/>
      <x:c r="H29" s="22"/>
      <x:c r="I29" s="22"/>
      <x:c r="J29" s="22"/>
    </x:row>
    <x:row r="30">
      <x:c r="A30" s="22" t="str">
        <x:v>B</x:v>
      </x:c>
      <x:c r="B30" s="22" t="str">
        <x:v>Central extramural approved project costs</x:v>
      </x:c>
      <x:c r="C30" s="22" t="str">
        <x:v>Evidence that payer and performer differ</x:v>
      </x:c>
      <x:c r="D30" s="22" t="str">
        <x:v>Approvals are not same-year expenditure and do not cover all funders</x:v>
      </x:c>
      <x:c r="E30" s="22"/>
      <x:c r="F30" s="22"/>
      <x:c r="G30" s="22"/>
      <x:c r="H30" s="22"/>
      <x:c r="I30" s="22"/>
      <x:c r="J30" s="22"/>
    </x:row>
    <x:row r="31">
      <x:c r="A31" s="22" t="str">
        <x:v>C</x:v>
      </x:c>
      <x:c r="B31" s="22" t="str">
        <x:v>Recipient shares for extramural projects</x:v>
      </x:c>
      <x:c r="C31" s="22" t="str">
        <x:v>Shows direction of a subset of flows</x:v>
      </x:c>
      <x:c r="D31" s="22" t="str">
        <x:v>Academic recipient ownership and timing are not fully observed</x:v>
      </x:c>
      <x:c r="E31" s="22"/>
      <x:c r="F31" s="22"/>
      <x:c r="G31" s="22"/>
      <x:c r="H31" s="22"/>
      <x:c r="I31" s="22"/>
      <x:c r="J31" s="22"/>
    </x:row>
    <x:row r="32">
      <x:c r="A32" s="22" t="str">
        <x:v>D</x:v>
      </x:c>
      <x:c r="B32" s="22" t="str">
        <x:v>Residual GERD after known extramural approvals</x:v>
      </x:c>
      <x:c r="C32" s="22" t="str">
        <x:v>A scale check only</x:v>
      </x:c>
      <x:c r="D32" s="22" t="str">
        <x:v>Residual mixes intramural finance, other government flows, business, foreign and nonprofit funds</x:v>
      </x:c>
      <x:c r="E32" s="22"/>
      <x:c r="F32" s="22"/>
      <x:c r="G32" s="22"/>
      <x:c r="H32" s="22"/>
      <x:c r="I32" s="22"/>
      <x:c r="J32" s="22"/>
    </x:row>
    <x:row r="33">
      <x:c r="A33" s="22" t="str">
        <x:v>Conclusion</x:v>
      </x:c>
      <x:c r="B33" s="22" t="str">
        <x:v>No defensible recent funding-source point estimate</x:v>
      </x:c>
      <x:c r="C33" s="22" t="str">
        <x:v>Report the performer-ownership proxy separately</x:v>
      </x:c>
      <x:c r="D33" s="22" t="str">
        <x:v>A forced reallocation would create false precision</x:v>
      </x:c>
      <x:c r="E33" s="22"/>
      <x:c r="F33" s="22"/>
      <x:c r="G33" s="22"/>
      <x:c r="H33" s="22"/>
      <x:c r="I33" s="22"/>
      <x:c r="J33" s="22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</x:row>
    <x:row r="36">
      <x:c r="A36" s="196" t="str">
        <x:v>Recommended future data release: a Frascati-style source-by-performer matrix for each observed year, with public, business, higher-education, private-nonprofit and rest-of-world sources; flows reported as expenditure, not approved multi-year project cost; and transparent bridges across survey vintages.</x:v>
      </x:c>
      <x:c r="B36" s="197"/>
      <x:c r="C36" s="197"/>
      <x:c r="D36" s="197"/>
      <x:c r="E36" s="197"/>
      <x:c r="F36" s="197"/>
      <x:c r="G36" s="197"/>
      <x:c r="H36" s="197"/>
      <x:c r="I36" s="197"/>
      <x:c r="J36" s="198"/>
    </x:row>
    <x:row r="37">
      <x:c r="A37" s="199"/>
      <x:c r="B37" s="200"/>
      <x:c r="C37" s="200"/>
      <x:c r="D37" s="200"/>
      <x:c r="E37" s="200"/>
      <x:c r="F37" s="200"/>
      <x:c r="G37" s="200"/>
      <x:c r="H37" s="200"/>
      <x:c r="I37" s="200"/>
      <x:c r="J37" s="201"/>
    </x:row>
    <x:row r="38">
      <x:c r="A38" s="199"/>
      <x:c r="B38" s="200"/>
      <x:c r="C38" s="200"/>
      <x:c r="D38" s="200"/>
      <x:c r="E38" s="200"/>
      <x:c r="F38" s="200"/>
      <x:c r="G38" s="200"/>
      <x:c r="H38" s="200"/>
      <x:c r="I38" s="200"/>
      <x:c r="J38" s="201"/>
    </x:row>
    <x:row r="39">
      <x:c r="A39" s="202"/>
      <x:c r="B39" s="203"/>
      <x:c r="C39" s="203"/>
      <x:c r="D39" s="203"/>
      <x:c r="E39" s="203"/>
      <x:c r="F39" s="203"/>
      <x:c r="G39" s="203"/>
      <x:c r="H39" s="203"/>
      <x:c r="I39" s="203"/>
      <x:c r="J39" s="204"/>
    </x:row>
  </x:sheetData>
  <x:mergeCells>
    <x:mergeCell ref="A1:J2"/>
    <x:mergeCell ref="A3:J3"/>
    <x:mergeCell ref="A5:J5"/>
    <x:mergeCell ref="A6:J10"/>
    <x:mergeCell ref="A12:J12"/>
    <x:mergeCell ref="A20:J20"/>
    <x:mergeCell ref="A27:J27"/>
    <x:mergeCell ref="D28:J28"/>
    <x:mergeCell ref="D29:J29"/>
    <x:mergeCell ref="D30:J30"/>
    <x:mergeCell ref="D31:J31"/>
    <x:mergeCell ref="D32:J32"/>
    <x:mergeCell ref="D33:J33"/>
    <x:mergeCell ref="A36:J3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</x:cols>
  <x:sheetData>
    <x:row r="1" ht="26" customHeight="1">
      <x:c r="A1" s="150" t="str">
        <x:v>Definitions, scope and comparability</x:v>
      </x:c>
      <x:c r="B1" s="150"/>
      <x:c r="C1" s="150"/>
      <x:c r="D1" s="150"/>
      <x:c r="E1" s="150"/>
      <x:c r="F1" s="150"/>
    </x:row>
    <x:row r="2" ht="26" customHeight="1">
      <x:c r="A2" s="150"/>
      <x:c r="B2" s="150"/>
      <x:c r="C2" s="150"/>
      <x:c r="D2" s="150"/>
      <x:c r="E2" s="150"/>
      <x:c r="F2" s="150"/>
    </x:row>
    <x:row r="3" ht="34" customHeight="1">
      <x:c r="A3" s="151" t="str">
        <x:v>Terms follow the Frascati/UIS framework and the Indian national survey documentation.</x:v>
      </x:c>
      <x:c r="B3" s="151"/>
      <x:c r="C3" s="151"/>
      <x:c r="D3" s="151"/>
      <x:c r="E3" s="151"/>
      <x:c r="F3" s="151"/>
    </x:row>
    <x:row r="4">
      <x:c r="A4" s="167"/>
      <x:c r="B4" s="167"/>
      <x:c r="C4" s="167"/>
      <x:c r="D4" s="167"/>
      <x:c r="E4" s="167"/>
      <x:c r="F4" s="167"/>
    </x:row>
    <x:row r="5">
      <x:c r="A5" s="154" t="str">
        <x:v>Term</x:v>
      </x:c>
      <x:c r="B5" s="154" t="str">
        <x:v>Working definition</x:v>
      </x:c>
      <x:c r="C5" s="154" t="str">
        <x:v>Included here</x:v>
      </x:c>
      <x:c r="D5" s="154" t="str">
        <x:v>Common confusion</x:v>
      </x:c>
      <x:c r="E5" s="154" t="str">
        <x:v>Primary reference</x:v>
      </x:c>
      <x:c r="F5" s="154" t="str">
        <x:v>Use in workbook</x:v>
      </x:c>
    </x:row>
    <x:row r="6">
      <x:c r="A6" s="22" t="str">
        <x:v>R&amp;D</x:v>
      </x:c>
      <x:c r="B6" s="22" t="str">
        <x:v>Creative and systematic work undertaken to increase knowledge and devise new applications; must be novel, creative, uncertain, systematic and transferable/reproducible</x:v>
      </x:c>
      <x:c r="C6" s="22" t="str">
        <x:v>Basic research, applied research, experimental development</x:v>
      </x:c>
      <x:c r="D6" s="22" t="str">
        <x:v>Routine testing, ordinary engineering, market research or general data collection are not automatically R&amp;D</x:v>
      </x:c>
      <x:c r="E6" s="22" t="str">
        <x:v>OECD Frascati Manual 2015</x:v>
      </x:c>
      <x:c r="F6" s="22" t="str">
        <x:v>Boundary concept</x:v>
      </x:c>
    </x:row>
    <x:row r="7">
      <x:c r="A7" s="22" t="str">
        <x:v>GERD</x:v>
      </x:c>
      <x:c r="B7" s="22" t="str">
        <x:v>Current and capital intramural R&amp;D performed within the national territory during a period</x:v>
      </x:c>
      <x:c r="C7" s="22" t="str">
        <x:v>Domestic performance, including foreign-funded domestic R&amp;D</x:v>
      </x:c>
      <x:c r="D7" s="22" t="str">
        <x:v>Domestic funding spent on R&amp;D performed abroad is outside GERD</x:v>
      </x:c>
      <x:c r="E7" s="22" t="str">
        <x:v>OECD / UIS</x:v>
      </x:c>
      <x:c r="F7" s="22" t="str">
        <x:v>National total</x:v>
      </x:c>
    </x:row>
    <x:row r="8">
      <x:c r="A8" s="22" t="str">
        <x:v>Performing sector</x:v>
      </x:c>
      <x:c r="B8" s="22" t="str">
        <x:v>Institutional sector where R&amp;D work occurs</x:v>
      </x:c>
      <x:c r="C8" s="22" t="str">
        <x:v>Government, higher education, business, private nonprofit/SIRO</x:v>
      </x:c>
      <x:c r="D8" s="22" t="str">
        <x:v>Not the same as the sector paying the bill</x:v>
      </x:c>
      <x:c r="E8" s="22" t="str">
        <x:v>UIS glossary</x:v>
      </x:c>
      <x:c r="F8" s="22" t="str">
        <x:v>Performance tables</x:v>
      </x:c>
    </x:row>
    <x:row r="9">
      <x:c r="A9" s="22" t="str">
        <x:v>Source of funds</x:v>
      </x:c>
      <x:c r="B9" s="22" t="str">
        <x:v>Sector providing the money used for R&amp;D</x:v>
      </x:c>
      <x:c r="C9" s="22" t="str">
        <x:v>Government, business, higher education, private nonprofit, rest of world when measured</x:v>
      </x:c>
      <x:c r="D9" s="22" t="str">
        <x:v>Performer ownership cannot be relabelled as funding source</x:v>
      </x:c>
      <x:c r="E9" s="22" t="str">
        <x:v>UIS glossary</x:v>
      </x:c>
      <x:c r="F9" s="22" t="str">
        <x:v>Funding-gap assessment</x:v>
      </x:c>
    </x:row>
    <x:row r="10">
      <x:c r="A10" s="22" t="str">
        <x:v>Ownership proxy</x:v>
      </x:c>
      <x:c r="B10" s="22" t="str">
        <x:v>DST grouping of performers into public- and private-owned sectors</x:v>
      </x:c>
      <x:c r="C10" s="22" t="str">
        <x:v>Exact published values</x:v>
      </x:c>
      <x:c r="D10" s="22" t="str">
        <x:v>Not a financing-flow matrix</x:v>
      </x:c>
      <x:c r="E10" s="22" t="str">
        <x:v>DST Table 5</x:v>
      </x:c>
      <x:c r="F10" s="22" t="str">
        <x:v>Public/private split reported here</x:v>
      </x:c>
    </x:row>
    <x:row r="11">
      <x:c r="A11" s="22" t="str">
        <x:v>Business enterprise</x:v>
      </x:c>
      <x:c r="B11" s="22" t="str">
        <x:v>Public and private industry performers</x:v>
      </x:c>
      <x:c r="C11" s="22" t="str">
        <x:v>Component-consistent sum in this workbook</x:v>
      </x:c>
      <x:c r="D11" s="22" t="str">
        <x:v>Older official BERD back-series included SIRO in early observations</x:v>
      </x:c>
      <x:c r="E11" s="22" t="str">
        <x:v>DST Tables 2 and 6</x:v>
      </x:c>
      <x:c r="F11" s="22" t="str">
        <x:v>Business-performer trend</x:v>
      </x:c>
    </x:row>
    <x:row r="12">
      <x:c r="A12" s="22" t="str">
        <x:v>Strategic R&amp;D</x:v>
      </x:c>
      <x:c r="B12" s="22" t="str">
        <x:v>Defence, space and atomic-energy R&amp;D</x:v>
      </x:c>
      <x:c r="C12" s="22" t="str">
        <x:v>Included in national and reconciliation totals</x:v>
      </x:c>
      <x:c r="D12" s="22" t="str">
        <x:v>Detailed profiling intentionally omitted</x:v>
      </x:c>
      <x:c r="E12" s="22" t="str">
        <x:v>User scope decision</x:v>
      </x:c>
      <x:c r="F12" s="22" t="str">
        <x:v>Aggregate totals only</x:v>
      </x:c>
    </x:row>
    <x:row r="13">
      <x:c r="A13" s="22" t="str">
        <x:v>Observed data</x:v>
      </x:c>
      <x:c r="B13" s="22" t="str">
        <x:v>Survey/statistical observations identified as actual in the latest release</x:v>
      </x:c>
      <x:c r="C13" s="22" t="str">
        <x:v>Through FY2023-24</x:v>
      </x:c>
      <x:c r="D13" s="22" t="str">
        <x:v>FY2024-25/FY2025-26 estimates are not observations</x:v>
      </x:c>
      <x:c r="E13" s="22" t="str">
        <x:v>DST 2025-26 release</x:v>
      </x:c>
      <x:c r="F13" s="22" t="str">
        <x:v>Only observed values used</x:v>
      </x:c>
    </x:row>
    <x:row r="14">
      <x:c r="A14" s="22" t="str">
        <x:v>Current vs constant prices</x:v>
      </x:c>
      <x:c r="B14" s="22" t="str">
        <x:v>Current prices are nominal; constant prices remove price change within a fixed base</x:v>
      </x:c>
      <x:c r="C14" s="22" t="str">
        <x:v>Both shown with base labels</x:v>
      </x:c>
      <x:c r="D14" s="22" t="str">
        <x:v>A base change prevents a single continuous real-growth rate</x:v>
      </x:c>
      <x:c r="E14" s="22" t="str">
        <x:v>DST Tables 3–4</x:v>
      </x:c>
      <x:c r="F14" s="22" t="str">
        <x:v>Trend caveat</x:v>
      </x:c>
    </x:row>
    <x:row r="15">
      <x:c r="A15" s="167"/>
      <x:c r="B15" s="167"/>
      <x:c r="C15" s="167"/>
      <x:c r="D15" s="167"/>
      <x:c r="E15" s="167"/>
      <x:c r="F15" s="167"/>
    </x:row>
    <x:row r="16">
      <x:c r="A16" s="167"/>
      <x:c r="B16" s="167"/>
      <x:c r="C16" s="167"/>
      <x:c r="D16" s="167"/>
      <x:c r="E16" s="167"/>
      <x:c r="F16" s="167"/>
    </x:row>
    <x:row r="17">
      <x:c r="A17" s="173" t="str">
        <x:v>Survey method: the 2024-25 National S&amp;T Survey was conducted as a census of more than 8,000 identified R&amp;D-performing institutions across six sectors, using Frascati 2015-aligned questionnaires, validation and authenticated secondary sources. The published result is a national statistical estimate reviewed by an expert committee, not merely the sum of returned questionnaires.</x:v>
      </x:c>
      <x:c r="B17" s="174"/>
      <x:c r="C17" s="174"/>
      <x:c r="D17" s="174"/>
      <x:c r="E17" s="174"/>
      <x:c r="F17" s="175"/>
    </x:row>
    <x:row r="18">
      <x:c r="A18" s="176"/>
      <x:c r="B18" s="177"/>
      <x:c r="C18" s="177"/>
      <x:c r="D18" s="177"/>
      <x:c r="E18" s="177"/>
      <x:c r="F18" s="178"/>
    </x:row>
    <x:row r="19">
      <x:c r="A19" s="176"/>
      <x:c r="B19" s="177"/>
      <x:c r="C19" s="177"/>
      <x:c r="D19" s="177"/>
      <x:c r="E19" s="177"/>
      <x:c r="F19" s="178"/>
    </x:row>
    <x:row r="20">
      <x:c r="A20" s="176"/>
      <x:c r="B20" s="177"/>
      <x:c r="C20" s="177"/>
      <x:c r="D20" s="177"/>
      <x:c r="E20" s="177"/>
      <x:c r="F20" s="178"/>
    </x:row>
    <x:row r="21">
      <x:c r="A21" s="179"/>
      <x:c r="B21" s="180"/>
      <x:c r="C21" s="180"/>
      <x:c r="D21" s="180"/>
      <x:c r="E21" s="180"/>
      <x:c r="F21" s="181"/>
    </x:row>
  </x:sheetData>
  <x:mergeCells>
    <x:mergeCell ref="A1:F2"/>
    <x:mergeCell ref="A3:F3"/>
    <x:mergeCell ref="A17:F21"/>
  </x:mergeCells>
  <x:pageMargins left="0.7" right="0.7" top="0.75" bottom="0.75" header="0.3" footer="0.3"/>
  <x:tableParts count="1">
    <x:tablePart xmlns:r="http://schemas.openxmlformats.org/officeDocument/2006/relationships" r:id="Rc794999d2f5145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42" hidden="0" customWidth="1"/>
    <x:col min="4" max="4" width="72" hidden="0" customWidth="1"/>
    <x:col min="5" max="5" width="55" hidden="0" customWidth="1"/>
    <x:col min="6" max="6" width="34" hidden="0" customWidth="1"/>
  </x:cols>
  <x:sheetData>
    <x:row r="1" ht="26" customHeight="1">
      <x:c r="A1" s="150" t="str">
        <x:v>Source register</x:v>
      </x:c>
      <x:c r="B1" s="150"/>
      <x:c r="C1" s="150"/>
      <x:c r="D1" s="150"/>
      <x:c r="E1" s="150"/>
      <x:c r="F1" s="150"/>
    </x:row>
    <x:row r="2" ht="26" customHeight="1">
      <x:c r="A2" s="150"/>
      <x:c r="B2" s="150"/>
      <x:c r="C2" s="150"/>
      <x:c r="D2" s="150"/>
      <x:c r="E2" s="150"/>
      <x:c r="F2" s="150"/>
    </x:row>
    <x:row r="3" ht="34" customHeight="1">
      <x:c r="A3" s="151" t="str">
        <x:v>Primary official publications are listed first. URLs are preserved for audit and refresh.</x:v>
      </x:c>
      <x:c r="B3" s="151"/>
      <x:c r="C3" s="151"/>
      <x:c r="D3" s="151"/>
      <x:c r="E3" s="151"/>
      <x:c r="F3" s="151"/>
    </x:row>
    <x:row r="4">
      <x:c r="A4" s="167"/>
      <x:c r="B4" s="167"/>
      <x:c r="C4" s="167"/>
      <x:c r="D4" s="167"/>
      <x:c r="E4" s="167"/>
      <x:c r="F4" s="167"/>
    </x:row>
    <x:row r="5">
      <x:c r="A5" s="154" t="str">
        <x:v>ID</x:v>
      </x:c>
      <x:c r="B5" s="154" t="str">
        <x:v>Title</x:v>
      </x:c>
      <x:c r="C5" s="154" t="str">
        <x:v>Publisher</x:v>
      </x:c>
      <x:c r="D5" s="154" t="str">
        <x:v>URL</x:v>
      </x:c>
      <x:c r="E5" s="154" t="str">
        <x:v>Used for</x:v>
      </x:c>
      <x:c r="F5" s="154" t="str">
        <x:v>Access / quality note</x:v>
      </x:c>
    </x:row>
    <x:row r="6">
      <x:c r="A6" s="22" t="str">
        <x:v>DST-GLANCE-2025</x:v>
      </x:c>
      <x:c r="B6" s="22" t="str">
        <x:v>R&amp;D Statistics At a Glance 2025-26</x:v>
      </x:c>
      <x:c r="C6" s="22" t="str">
        <x:v>NSTMIS, Department of Science &amp; Technology, Government of India</x:v>
      </x:c>
      <x:c r="D6" s="22" t="str">
        <x:v>https://www.nstmis-dst.org/Pdfs/RD%20STATISTICS%20AT%20A%20GLANCE%202025-26.pdf</x:v>
      </x:c>
      <x:c r="E6" s="22" t="str">
        <x:v>Latest observed national totals, headline sector shares, survey scope and extramural funding</x:v>
      </x:c>
      <x:c r="F6" s="22" t="str">
        <x:v>Primary Indian official source</x:v>
      </x:c>
    </x:row>
    <x:row r="7">
      <x:c r="A7" s="22" t="str">
        <x:v>DST-TABLES-2025</x:v>
      </x:c>
      <x:c r="B7" s="22" t="str">
        <x:v>S&amp;T Indicators Tables: R&amp;D Statistics 2025-26</x:v>
      </x:c>
      <x:c r="C7" s="22" t="str">
        <x:v>NSTMIS, Department of Science &amp; Technology, Government of India</x:v>
      </x:c>
      <x:c r="D7" s="22" t="str">
        <x:v>https://www.nstmis-dst.org/Pdfs/ST%20INDICATORS%20TABLES%202025-26.pdf</x:v>
      </x:c>
      <x:c r="E7" s="22" t="str">
        <x:v>Detailed national, performer, ownership-proxy, agency, industry and economic-activity tables</x:v>
      </x:c>
      <x:c r="F7" s="22" t="str">
        <x:v>Primary Indian official source</x:v>
      </x:c>
    </x:row>
    <x:row r="8">
      <x:c r="A8" s="22" t="str">
        <x:v>DST-GLANCE-2022</x:v>
      </x:c>
      <x:c r="B8" s="22" t="str">
        <x:v>R&amp;D Statistics At a Glance 2022-23</x:v>
      </x:c>
      <x:c r="C8" s="22" t="str">
        <x:v>NSTMIS, Department of Science &amp; Technology, Government of India</x:v>
      </x:c>
      <x:c r="D8" s="22" t="str">
        <x:v>https://www.nstmis-dst.org/Pdfs/RD%20Statistics%20at%20a%20Glance%202022-23.pdf</x:v>
      </x:c>
      <x:c r="E8" s="22" t="str">
        <x:v>FY2019-20 and FY2020-21 sector-performance observations and historical methodology notes</x:v>
      </x:c>
      <x:c r="F8" s="22" t="str">
        <x:v>Primary Indian official source</x:v>
      </x:c>
    </x:row>
    <x:row r="9">
      <x:c r="A9" s="22" t="str">
        <x:v>DST-PUB</x:v>
      </x:c>
      <x:c r="B9" s="22" t="str">
        <x:v>Regular Publications — Research and Development Statistics</x:v>
      </x:c>
      <x:c r="C9" s="22" t="str">
        <x:v>NSTMIS, Department of Science &amp; Technology, Government of India</x:v>
      </x:c>
      <x:c r="D9" s="22" t="str">
        <x:v>https://www.nstmis-dst.org/RegularPublication.aspx</x:v>
      </x:c>
      <x:c r="E9" s="22" t="str">
        <x:v>Publication catalogue and vintage confirmation</x:v>
      </x:c>
      <x:c r="F9" s="22" t="str">
        <x:v>Primary Indian official source</x:v>
      </x:c>
    </x:row>
    <x:row r="10">
      <x:c r="A10" s="22" t="str">
        <x:v>OECD-FRASCATI</x:v>
      </x:c>
      <x:c r="B10" s="22" t="str">
        <x:v>Frascati Manual 2015</x:v>
      </x:c>
      <x:c r="C10" s="22" t="str">
        <x:v>OECD</x:v>
      </x:c>
      <x:c r="D10" s="22" t="str">
        <x:v>https://www.oecd.org/en/publications/frascati-manual-2015_9789264239012-en.html</x:v>
      </x:c>
      <x:c r="E10" s="22" t="str">
        <x:v>International R&amp;D and GERD concepts</x:v>
      </x:c>
      <x:c r="F10" s="22" t="str">
        <x:v>Primary international methodology/metadata</x:v>
      </x:c>
    </x:row>
    <x:row r="11">
      <x:c r="A11" s="22" t="str">
        <x:v>OECD-GERD</x:v>
      </x:c>
      <x:c r="B11" s="22" t="str">
        <x:v>Gross domestic spending on R&amp;D</x:v>
      </x:c>
      <x:c r="C11" s="22" t="str">
        <x:v>OECD</x:v>
      </x:c>
      <x:c r="D11" s="22" t="str">
        <x:v>https://www.oecd.org/en/data/indicators/gross-domestic-spending-on-r-d.html</x:v>
      </x:c>
      <x:c r="E11" s="22" t="str">
        <x:v>GERD definition and current/capital intramural scope</x:v>
      </x:c>
      <x:c r="F11" s="22" t="str">
        <x:v>Primary international methodology/metadata</x:v>
      </x:c>
    </x:row>
    <x:row r="12">
      <x:c r="A12" s="22" t="str">
        <x:v>UNESCO-GLOSSARY</x:v>
      </x:c>
      <x:c r="B12" s="22" t="str">
        <x:v>UIS Data Browser Glossary</x:v>
      </x:c>
      <x:c r="C12" s="22" t="str">
        <x:v>UNESCO Institute for Statistics</x:v>
      </x:c>
      <x:c r="D12" s="22" t="str">
        <x:v>https://databrowser.uis.unesco.org/resources/glossary</x:v>
      </x:c>
      <x:c r="E12" s="22" t="str">
        <x:v>Funding-source versus performing-sector concepts</x:v>
      </x:c>
      <x:c r="F12" s="22" t="str">
        <x:v>Primary international methodology/metadata</x:v>
      </x:c>
    </x:row>
    <x:row r="13">
      <x:c r="A13" s="22" t="str">
        <x:v>WB-META</x:v>
      </x:c>
      <x:c r="B13" s="22" t="str">
        <x:v>Research and development expenditure (% of GDP) metadata</x:v>
      </x:c>
      <x:c r="C13" s="22" t="str">
        <x:v>World Bank / UNESCO Institute for Statistics</x:v>
      </x:c>
      <x:c r="D13" s="22" t="str">
        <x:v>https://databank.worldbank.org/metadataglossary/world-development-indicators/series/GB.XPD.RSDV.GD.ZS</x:v>
      </x:c>
      <x:c r="E13" s="22" t="str">
        <x:v>International GERD metadata</x:v>
      </x:c>
      <x:c r="F13" s="22" t="str">
        <x:v>Primary international methodology/metadata</x:v>
      </x:c>
    </x:row>
    <x:row r="14">
      <x:c r="A14" s="22" t="str">
        <x:v>UNDATA-GOV</x:v>
      </x:c>
      <x:c r="B14" s="22" t="str">
        <x:v>GERD financed by government — UNdata</x:v>
      </x:c>
      <x:c r="C14" s="22" t="str">
        <x:v>UNESCO / United Nations</x:v>
      </x:c>
      <x:c r="D14" s="22" t="str">
        <x:v>https://data.un.org/Data.aspx?d=UNESCO&amp;f=series%3AST_SCGERDFGS&amp;q=gerd</x:v>
      </x:c>
      <x:c r="E14" s="22" t="str">
        <x:v>Checked for recent source-of-funds observations; dataset is stale and does not supply the requested India series</x:v>
      </x:c>
      <x:c r="F14" s="22" t="str">
        <x:v>Gap check only</x:v>
      </x:c>
    </x:row>
    <x:row r="15">
      <x:c r="A15" s="22" t="str">
        <x:v>UNDATA-BUS</x:v>
      </x:c>
      <x:c r="B15" s="22" t="str">
        <x:v>GERD financed by business enterprise — UNdata</x:v>
      </x:c>
      <x:c r="C15" s="22" t="str">
        <x:v>UNESCO / United Nations</x:v>
      </x:c>
      <x:c r="D15" s="22" t="str">
        <x:v>https://data.un.org/Data.aspx?d=UNESCO&amp;f=series%3AST_SCGERDFBE&amp;q=gerd</x:v>
      </x:c>
      <x:c r="E15" s="22" t="str">
        <x:v>Checked for recent source-of-funds observations; dataset is stale and does not supply the requested India series</x:v>
      </x:c>
      <x:c r="F15" s="22" t="str">
        <x:v>Gap check only</x:v>
      </x:c>
    </x:row>
    <x:row r="16">
      <x:c r="A16" s="167"/>
      <x:c r="B16" s="167"/>
      <x:c r="C16" s="167"/>
      <x:c r="D16" s="167"/>
      <x:c r="E16" s="167"/>
      <x:c r="F16" s="167"/>
    </x:row>
    <x:row r="17">
      <x:c r="A17" s="167"/>
      <x:c r="B17" s="167"/>
      <x:c r="C17" s="167"/>
      <x:c r="D17" s="167"/>
      <x:c r="E17" s="167"/>
      <x:c r="F17" s="167"/>
    </x:row>
    <x:row r="18">
      <x:c r="A18" s="173" t="str">
        <x:v>Data hierarchy: latest NSTMIS/DST observed tables govern current estimates; the 2022-23 edition supplies earlier sector detail and its historical notes; OECD/UIS sources govern concepts. Where detailed tables differ by rounding, both the source-table sum and the national/performance total are retained with a reconciliation line.</x:v>
      </x:c>
      <x:c r="B18" s="174"/>
      <x:c r="C18" s="174"/>
      <x:c r="D18" s="174"/>
      <x:c r="E18" s="174"/>
      <x:c r="F18" s="175"/>
    </x:row>
    <x:row r="19">
      <x:c r="A19" s="176"/>
      <x:c r="B19" s="177"/>
      <x:c r="C19" s="177"/>
      <x:c r="D19" s="177"/>
      <x:c r="E19" s="177"/>
      <x:c r="F19" s="178"/>
    </x:row>
    <x:row r="20">
      <x:c r="A20" s="176"/>
      <x:c r="B20" s="177"/>
      <x:c r="C20" s="177"/>
      <x:c r="D20" s="177"/>
      <x:c r="E20" s="177"/>
      <x:c r="F20" s="178"/>
    </x:row>
    <x:row r="21">
      <x:c r="A21" s="179"/>
      <x:c r="B21" s="180"/>
      <x:c r="C21" s="180"/>
      <x:c r="D21" s="180"/>
      <x:c r="E21" s="180"/>
      <x:c r="F21" s="181"/>
    </x:row>
  </x:sheetData>
  <x:mergeCells>
    <x:mergeCell ref="A1:F2"/>
    <x:mergeCell ref="A3:F3"/>
    <x:mergeCell ref="A18:F21"/>
  </x:mergeCells>
  <x:pageMargins left="0.7" right="0.7" top="0.75" bottom="0.75" header="0.3" footer="0.3"/>
  <x:tableParts count="1">
    <x:tablePart xmlns:r="http://schemas.openxmlformats.org/officeDocument/2006/relationships" r:id="Ra3757280f4c84f64"/>
  </x:tableParts>
</x:worksheet>
</file>